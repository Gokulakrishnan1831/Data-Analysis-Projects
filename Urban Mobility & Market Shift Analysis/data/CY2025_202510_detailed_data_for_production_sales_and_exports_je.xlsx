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m0fs02\ＩＲ\SS06.WEBSITE\02_Website掲載用ファイル【10年保存】\2025年\20251127_生販輸\Web掲載用\"/>
    </mc:Choice>
  </mc:AlternateContent>
  <xr:revisionPtr revIDLastSave="0" documentId="13_ncr:1_{96A756C4-2B12-4940-84C7-EA701FCFE4AA}" xr6:coauthVersionLast="47" xr6:coauthVersionMax="47" xr10:uidLastSave="{00000000-0000-0000-0000-000000000000}"/>
  <bookViews>
    <workbookView xWindow="-108" yWindow="-108" windowWidth="23256" windowHeight="12456" xr2:uid="{1429EE27-2304-40C7-96AF-EE9A1BDD683F}"/>
  </bookViews>
  <sheets>
    <sheet name="生産_Production" sheetId="3" r:id="rId1"/>
    <sheet name="販売_Sales" sheetId="13" r:id="rId2"/>
    <sheet name="販売（電動車）_Sales (Electrification)" sheetId="14" r:id="rId3"/>
    <sheet name="輸出_Exports" sheetId="2" r:id="rId4"/>
    <sheet name="CY2019-2023➢" sheetId="8" r:id="rId5"/>
    <sheet name="annual production" sheetId="9" r:id="rId6"/>
    <sheet name="annual sales" sheetId="10" r:id="rId7"/>
    <sheet name="annual export" sheetId="11" r:id="rId8"/>
    <sheet name="CY2013-2023" sheetId="6" r:id="rId9"/>
  </sheets>
  <externalReferences>
    <externalReference r:id="rId10"/>
  </externalReferences>
  <definedNames>
    <definedName name="Honda_Brand_Total" localSheetId="8">'CY2013-2023'!$B$132</definedName>
    <definedName name="Honda_Brand_Total" localSheetId="2">[1]Eng!#REF!</definedName>
    <definedName name="Honda_Brand_Total" localSheetId="1">[1]Eng!#REF!</definedName>
    <definedName name="Honda_Brand_Total">[1]Eng!#REF!</definedName>
    <definedName name="_xlnm.Print_Area" localSheetId="8">'CY2013-2023'!$A$1:$N$244</definedName>
    <definedName name="_xlnm.Print_Area" localSheetId="1">販売_Sales!$A$1:$V$120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3" i="2"/>
  <c r="U5" i="14"/>
  <c r="U39" i="14"/>
  <c r="E74" i="14"/>
  <c r="S40" i="14"/>
  <c r="S74" i="14" s="1"/>
  <c r="R40" i="14"/>
  <c r="R74" i="14" s="1"/>
  <c r="Q40" i="14"/>
  <c r="Q74" i="14" s="1"/>
  <c r="O40" i="14"/>
  <c r="O74" i="14" s="1"/>
  <c r="N40" i="14"/>
  <c r="N74" i="14" s="1"/>
  <c r="M40" i="14"/>
  <c r="M74" i="14" s="1"/>
  <c r="K40" i="14"/>
  <c r="K74" i="14" s="1"/>
  <c r="J40" i="14"/>
  <c r="J74" i="14" s="1"/>
  <c r="I40" i="14"/>
  <c r="I74" i="14" s="1"/>
  <c r="G40" i="14"/>
  <c r="G74" i="14" s="1"/>
  <c r="F40" i="14"/>
  <c r="F74" i="14" s="1"/>
  <c r="E40" i="14"/>
  <c r="U36" i="3" l="1"/>
  <c r="E37" i="3"/>
  <c r="F37" i="3"/>
  <c r="G37" i="3"/>
  <c r="I37" i="3"/>
  <c r="J37" i="3"/>
  <c r="K37" i="3"/>
  <c r="M37" i="3"/>
  <c r="N37" i="3"/>
  <c r="O37" i="3"/>
  <c r="Q37" i="3"/>
  <c r="R37" i="3"/>
  <c r="S37" i="3"/>
  <c r="F11" i="11"/>
  <c r="E11" i="11"/>
  <c r="D11" i="11"/>
  <c r="F9" i="11"/>
  <c r="E9" i="11"/>
  <c r="D9" i="11"/>
  <c r="F8" i="11"/>
  <c r="E8" i="11"/>
  <c r="D8" i="11"/>
  <c r="F7" i="11"/>
  <c r="E7" i="11"/>
  <c r="D7" i="11"/>
  <c r="F6" i="11"/>
  <c r="E6" i="11"/>
  <c r="D6" i="11"/>
  <c r="F5" i="11"/>
  <c r="E5" i="11"/>
  <c r="D5" i="11"/>
  <c r="B37" i="14"/>
  <c r="B3" i="14"/>
  <c r="B3" i="13"/>
  <c r="E45" i="13"/>
  <c r="E84" i="13" s="1"/>
  <c r="F45" i="13"/>
  <c r="F84" i="13" s="1"/>
  <c r="G45" i="13"/>
  <c r="G84" i="13" s="1"/>
  <c r="I45" i="13"/>
  <c r="I84" i="13" s="1"/>
  <c r="J45" i="13"/>
  <c r="J84" i="13" s="1"/>
  <c r="K45" i="13"/>
  <c r="K84" i="13" s="1"/>
  <c r="M45" i="13"/>
  <c r="M84" i="13" s="1"/>
  <c r="N45" i="13"/>
  <c r="N84" i="13" s="1"/>
  <c r="O45" i="13"/>
  <c r="O84" i="13" s="1"/>
  <c r="Q45" i="13"/>
  <c r="Q84" i="13" s="1"/>
  <c r="R45" i="13"/>
  <c r="R84" i="13" s="1"/>
  <c r="S45" i="13"/>
  <c r="S84" i="13" s="1"/>
  <c r="E43" i="13" l="1"/>
  <c r="U5" i="13"/>
  <c r="R30" i="2"/>
  <c r="Q30" i="2"/>
  <c r="P30" i="2"/>
  <c r="N30" i="2"/>
  <c r="M30" i="2"/>
  <c r="L30" i="2"/>
  <c r="J30" i="2"/>
  <c r="I30" i="2"/>
  <c r="H30" i="2"/>
  <c r="F30" i="2"/>
  <c r="E30" i="2"/>
  <c r="D30" i="2"/>
  <c r="R18" i="2"/>
  <c r="Q18" i="2"/>
  <c r="P18" i="2"/>
  <c r="N18" i="2"/>
  <c r="M18" i="2"/>
  <c r="L18" i="2"/>
  <c r="J18" i="2"/>
  <c r="I18" i="2"/>
  <c r="H18" i="2"/>
  <c r="F18" i="2"/>
  <c r="E18" i="2"/>
  <c r="D18" i="2"/>
  <c r="T17" i="2"/>
  <c r="T5" i="2"/>
  <c r="B42" i="13" l="1"/>
  <c r="U44" i="13"/>
  <c r="S68" i="3"/>
  <c r="R68" i="3"/>
  <c r="Q68" i="3"/>
  <c r="O68" i="3"/>
  <c r="N68" i="3"/>
  <c r="M68" i="3"/>
  <c r="K68" i="3"/>
  <c r="J68" i="3"/>
  <c r="I68" i="3"/>
  <c r="F68" i="3"/>
  <c r="G68" i="3"/>
  <c r="E68" i="3"/>
  <c r="U5" i="3" l="1"/>
</calcChain>
</file>

<file path=xl/sharedStrings.xml><?xml version="1.0" encoding="utf-8"?>
<sst xmlns="http://schemas.openxmlformats.org/spreadsheetml/2006/main" count="1137" uniqueCount="180">
  <si>
    <t>YonY</t>
    <phoneticPr fontId="3"/>
  </si>
  <si>
    <t>May</t>
  </si>
  <si>
    <t>Export from Japan</t>
  </si>
  <si>
    <t>Jan.</t>
  </si>
  <si>
    <t>Feb.</t>
  </si>
  <si>
    <t>Mar.</t>
    <phoneticPr fontId="3"/>
  </si>
  <si>
    <t>Apr.</t>
    <phoneticPr fontId="3"/>
  </si>
  <si>
    <t>Jun.</t>
  </si>
  <si>
    <t>Jul.</t>
    <phoneticPr fontId="3"/>
  </si>
  <si>
    <t>Aug.</t>
    <phoneticPr fontId="3"/>
  </si>
  <si>
    <t>Sep.</t>
    <phoneticPr fontId="3"/>
  </si>
  <si>
    <t>Oct.</t>
    <phoneticPr fontId="3"/>
  </si>
  <si>
    <t>Nov.</t>
    <phoneticPr fontId="3"/>
  </si>
  <si>
    <t>Dec.</t>
    <phoneticPr fontId="3"/>
  </si>
  <si>
    <t>Total</t>
  </si>
  <si>
    <t>North America</t>
  </si>
  <si>
    <t>  (USA)</t>
  </si>
  <si>
    <t>Europe</t>
  </si>
  <si>
    <t>Asia</t>
  </si>
  <si>
    <t>Others</t>
  </si>
  <si>
    <t>*based on report to JAMA</t>
  </si>
  <si>
    <t>Monthly Data on Production, Sales, and Export</t>
  </si>
  <si>
    <t>Automobile Production Data</t>
    <phoneticPr fontId="3"/>
  </si>
  <si>
    <r>
      <t>Japan</t>
    </r>
    <r>
      <rPr>
        <b/>
        <vertAlign val="superscript"/>
        <sz val="11"/>
        <color indexed="8"/>
        <rFont val="Arial"/>
        <family val="2"/>
      </rPr>
      <t>*1</t>
    </r>
  </si>
  <si>
    <r>
      <t>Outside of Japan</t>
    </r>
    <r>
      <rPr>
        <b/>
        <vertAlign val="superscript"/>
        <sz val="11"/>
        <color indexed="8"/>
        <rFont val="Arial"/>
        <family val="2"/>
      </rPr>
      <t>*2</t>
    </r>
  </si>
  <si>
    <r>
      <t>North America</t>
    </r>
    <r>
      <rPr>
        <vertAlign val="superscript"/>
        <sz val="11"/>
        <color indexed="8"/>
        <rFont val="Arial"/>
        <family val="2"/>
      </rPr>
      <t>*3</t>
    </r>
  </si>
  <si>
    <t>  (China)</t>
  </si>
  <si>
    <t>Worldwide Total</t>
  </si>
  <si>
    <t>*1 based on report to JAMA (Japan Automobile Manufacturers Association Inc.)</t>
  </si>
  <si>
    <t>*2 Local line-off basis</t>
  </si>
  <si>
    <t>*3 includes Mexico</t>
  </si>
  <si>
    <t>Japan Domestic Market Sales</t>
  </si>
  <si>
    <t>Honda Brand Total</t>
  </si>
  <si>
    <t>Registrations</t>
  </si>
  <si>
    <t>Mini-Vehicles</t>
  </si>
  <si>
    <t>CY</t>
  </si>
  <si>
    <t>CY2024</t>
  </si>
  <si>
    <t>CHAC</t>
  </si>
  <si>
    <t>JV</t>
  </si>
  <si>
    <t>CYTD</t>
  </si>
  <si>
    <t>4Q</t>
    <phoneticPr fontId="2"/>
  </si>
  <si>
    <t>1Q</t>
    <phoneticPr fontId="2"/>
  </si>
  <si>
    <t>2Q</t>
    <phoneticPr fontId="2"/>
  </si>
  <si>
    <t>3Q</t>
    <phoneticPr fontId="2"/>
  </si>
  <si>
    <t>*輸出：自工会報告ベース（CBU）</t>
  </si>
  <si>
    <t>YonY</t>
    <phoneticPr fontId="2"/>
  </si>
  <si>
    <t>HEV</t>
  </si>
  <si>
    <t>BEV/FCEV</t>
  </si>
  <si>
    <t>BEV</t>
  </si>
  <si>
    <t>PHEV</t>
  </si>
  <si>
    <t>4Q</t>
  </si>
  <si>
    <t>1Q</t>
  </si>
  <si>
    <t>2Q</t>
  </si>
  <si>
    <t>3Q</t>
  </si>
  <si>
    <t>BEV/FCEV</t>
    <phoneticPr fontId="2"/>
  </si>
  <si>
    <t>日本/Japan</t>
  </si>
  <si>
    <t>日本/Japan</t>
    <phoneticPr fontId="2"/>
  </si>
  <si>
    <t>生産台数　計/World Production Total</t>
    <phoneticPr fontId="2"/>
  </si>
  <si>
    <t>北米/North America</t>
  </si>
  <si>
    <t>北米/North America</t>
    <phoneticPr fontId="2"/>
  </si>
  <si>
    <t>オハイオ州/Ohio</t>
  </si>
  <si>
    <t>オハイオ州/Ohio</t>
    <phoneticPr fontId="2"/>
  </si>
  <si>
    <t>アラバマ州/Alabama</t>
  </si>
  <si>
    <t>アラバマ州/Alabama</t>
    <phoneticPr fontId="2"/>
  </si>
  <si>
    <t>インディアナ州/Indiana</t>
  </si>
  <si>
    <t>インディアナ州/Indiana</t>
    <phoneticPr fontId="2"/>
  </si>
  <si>
    <t>カナダ/Canada</t>
  </si>
  <si>
    <t>カナダ/Canada</t>
    <phoneticPr fontId="2"/>
  </si>
  <si>
    <t>メキシコ/Mexico</t>
  </si>
  <si>
    <t>メキシコ/Mexico</t>
    <phoneticPr fontId="2"/>
  </si>
  <si>
    <t>南米/South America</t>
  </si>
  <si>
    <t>南米/South America</t>
    <phoneticPr fontId="2"/>
  </si>
  <si>
    <t>ブラジル/Brazil</t>
  </si>
  <si>
    <t>ブラジル/Brazil</t>
    <phoneticPr fontId="2"/>
  </si>
  <si>
    <t>アジア＆オセアニア/Asia &amp; Oceania</t>
  </si>
  <si>
    <t>アジア＆オセアニア/Asia &amp; Oceania</t>
    <phoneticPr fontId="2"/>
  </si>
  <si>
    <t>タイ/Thailand</t>
  </si>
  <si>
    <t>タイ/Thailand</t>
    <phoneticPr fontId="2"/>
  </si>
  <si>
    <t>インドネシア/Indonesia</t>
  </si>
  <si>
    <t>インドネシア/Indonesia</t>
    <phoneticPr fontId="2"/>
  </si>
  <si>
    <t>マレーシア/Malaysia</t>
  </si>
  <si>
    <t>マレーシア/Malaysia</t>
    <phoneticPr fontId="2"/>
  </si>
  <si>
    <t>ベトナム/Vietnam</t>
  </si>
  <si>
    <t>ベトナム/Vietnam</t>
    <phoneticPr fontId="2"/>
  </si>
  <si>
    <t>台湾/Taiwan</t>
  </si>
  <si>
    <t>台湾/Taiwan</t>
    <phoneticPr fontId="2"/>
  </si>
  <si>
    <t>パキスタン/Pakistan</t>
  </si>
  <si>
    <t>パキスタン/Pakistan</t>
    <phoneticPr fontId="2"/>
  </si>
  <si>
    <t>インド/India</t>
  </si>
  <si>
    <t>インド/India</t>
    <phoneticPr fontId="2"/>
  </si>
  <si>
    <t>中国/China</t>
  </si>
  <si>
    <t>中国/China</t>
    <phoneticPr fontId="2"/>
  </si>
  <si>
    <t>その他/Other</t>
  </si>
  <si>
    <t>その他/Other</t>
    <phoneticPr fontId="2"/>
  </si>
  <si>
    <t>広州/GAC</t>
  </si>
  <si>
    <t>広州/GAC</t>
    <phoneticPr fontId="2"/>
  </si>
  <si>
    <t>東風/Dongfeng</t>
  </si>
  <si>
    <t>東風/Dongfeng</t>
    <phoneticPr fontId="2"/>
  </si>
  <si>
    <t>ナイジェリア/Nigeria</t>
  </si>
  <si>
    <t>ナイジェリア/Nigeria</t>
    <phoneticPr fontId="2"/>
  </si>
  <si>
    <t>ガーナ/Ghana</t>
  </si>
  <si>
    <t>ガーナ/Ghana</t>
    <phoneticPr fontId="2"/>
  </si>
  <si>
    <t>5月/May</t>
  </si>
  <si>
    <t>5月/May</t>
    <phoneticPr fontId="2"/>
  </si>
  <si>
    <t xml:space="preserve">      (台/Unit)</t>
  </si>
  <si>
    <t xml:space="preserve">      (台/Unit)</t>
    <phoneticPr fontId="2"/>
  </si>
  <si>
    <t xml:space="preserve">CY2025 </t>
  </si>
  <si>
    <t>四輪車 世界販売台数/Honda Worldwide Auto Retail Sales</t>
    <phoneticPr fontId="2"/>
  </si>
  <si>
    <t>登録車/Registered Vehicle</t>
  </si>
  <si>
    <t>登録車/Registered Vehicle</t>
    <phoneticPr fontId="2"/>
  </si>
  <si>
    <t>届出車/Mini-Vehicle</t>
  </si>
  <si>
    <t>届出車/Mini-Vehicle</t>
    <phoneticPr fontId="2"/>
  </si>
  <si>
    <t>欧州/Europe</t>
  </si>
  <si>
    <t>欧州/Europe</t>
    <phoneticPr fontId="2"/>
  </si>
  <si>
    <t>アメリカ/United States</t>
  </si>
  <si>
    <t>アメリカ/United States</t>
    <phoneticPr fontId="2"/>
  </si>
  <si>
    <t>アジア＆オセアニア/Asia &amp; Oceanea</t>
  </si>
  <si>
    <t>アジア＆オセアニア/Asia &amp; Oceanea</t>
    <phoneticPr fontId="2"/>
  </si>
  <si>
    <t>グローバル小売　計/Global Retail Sales Total</t>
  </si>
  <si>
    <t>グローバル小売　計/Global Retail Sales Total</t>
    <phoneticPr fontId="2"/>
  </si>
  <si>
    <t>グローバルモデル/Global models</t>
  </si>
  <si>
    <t>グローバルモデル/Global models</t>
    <phoneticPr fontId="2"/>
  </si>
  <si>
    <t>Accordシリーズ/Accord Series</t>
  </si>
  <si>
    <t>Accordシリーズ/Accord Series</t>
    <phoneticPr fontId="2"/>
  </si>
  <si>
    <t>Civicシリーズ/Civic Series</t>
  </si>
  <si>
    <t>Civicシリーズ/Civic Series</t>
    <phoneticPr fontId="2"/>
  </si>
  <si>
    <t>CR-Vシリーズ/CR-V Series</t>
  </si>
  <si>
    <t>CR-Vシリーズ/CR-V Series</t>
    <phoneticPr fontId="2"/>
  </si>
  <si>
    <t>Compactシリーズ/Compact Series</t>
  </si>
  <si>
    <t>Compactシリーズ/Compact Series</t>
    <phoneticPr fontId="2"/>
  </si>
  <si>
    <t>四輪電動車 世界販売台数/Honda Worldwide Auto Retail Sales per Power Trains</t>
    <phoneticPr fontId="2"/>
  </si>
  <si>
    <t>グローバル電動車小売　計/Electrified vehicle sales total</t>
    <phoneticPr fontId="2"/>
  </si>
  <si>
    <t>米国/USA</t>
    <phoneticPr fontId="2"/>
  </si>
  <si>
    <t>アジア/Asia</t>
    <phoneticPr fontId="2"/>
  </si>
  <si>
    <t>その他/Others</t>
    <phoneticPr fontId="2"/>
  </si>
  <si>
    <t>輸出合計/Export Total</t>
    <phoneticPr fontId="2"/>
  </si>
  <si>
    <t>四輪車　輸出実績/Export from Japan</t>
    <phoneticPr fontId="2"/>
  </si>
  <si>
    <t>アルゼンチン/Argentina</t>
    <phoneticPr fontId="2"/>
  </si>
  <si>
    <t>フィリピン/Philippines</t>
    <phoneticPr fontId="2"/>
  </si>
  <si>
    <t>イギリス/U.K</t>
    <phoneticPr fontId="2"/>
  </si>
  <si>
    <t>トルコ/Turkey</t>
    <phoneticPr fontId="2"/>
  </si>
  <si>
    <t xml:space="preserve">   (台/Unit)</t>
  </si>
  <si>
    <t xml:space="preserve"> based on report to JAMA</t>
    <phoneticPr fontId="2"/>
  </si>
  <si>
    <t>中東＆アフリカ/Middle East &amp; Africa</t>
    <phoneticPr fontId="2"/>
  </si>
  <si>
    <t>*Compact Series：Fit / Jazz / HR-V / XR-V / Vezel / City / Grace / LIFE(Dongfeng)</t>
    <phoneticPr fontId="2"/>
  </si>
  <si>
    <t>*記載情報は発表日時点の速報値です。</t>
    <phoneticPr fontId="2"/>
  </si>
  <si>
    <t xml:space="preserve"> Figures are based on information available at the time of publication.</t>
    <phoneticPr fontId="2"/>
  </si>
  <si>
    <t xml:space="preserve"> Figures are based on information available at the time of publication.</t>
    <phoneticPr fontId="3"/>
  </si>
  <si>
    <t>*Compact Series：Fit / Jazz / HR-V / XR-V / Vezel / City / Grace /  LIFE(Dongfeng)</t>
    <phoneticPr fontId="3"/>
  </si>
  <si>
    <t>Others</t>
    <phoneticPr fontId="2"/>
  </si>
  <si>
    <t>Worldwide Total</t>
    <phoneticPr fontId="2"/>
  </si>
  <si>
    <r>
      <t>Outside of Japan</t>
    </r>
    <r>
      <rPr>
        <b/>
        <vertAlign val="superscript"/>
        <sz val="11"/>
        <color indexed="8"/>
        <rFont val="Arial"/>
        <family val="2"/>
      </rPr>
      <t>*2</t>
    </r>
    <phoneticPr fontId="2"/>
  </si>
  <si>
    <t>1月/Jan.</t>
    <phoneticPr fontId="2"/>
  </si>
  <si>
    <t>2月/Feb.</t>
    <phoneticPr fontId="2"/>
  </si>
  <si>
    <t>3月/Mar.</t>
    <phoneticPr fontId="2"/>
  </si>
  <si>
    <t>4月/Apr.</t>
    <phoneticPr fontId="2"/>
  </si>
  <si>
    <t>6月/Jun.</t>
    <phoneticPr fontId="2"/>
  </si>
  <si>
    <t>7月/Jul.</t>
    <phoneticPr fontId="2"/>
  </si>
  <si>
    <t>8月/Aug.</t>
    <phoneticPr fontId="2"/>
  </si>
  <si>
    <t>9月/Sep.</t>
    <phoneticPr fontId="2"/>
  </si>
  <si>
    <t>10月/Oct.</t>
    <phoneticPr fontId="2"/>
  </si>
  <si>
    <t>11月/Nov.</t>
    <phoneticPr fontId="2"/>
  </si>
  <si>
    <t>12月/Dec.</t>
    <phoneticPr fontId="2"/>
  </si>
  <si>
    <t>四輪車 世界生産台数/Honda Worldwide Auto Production</t>
    <phoneticPr fontId="2"/>
  </si>
  <si>
    <t>(米国　計/US total)</t>
    <phoneticPr fontId="7"/>
  </si>
  <si>
    <t>4Q for FYE 
Mar. 31, 2024</t>
    <phoneticPr fontId="2"/>
  </si>
  <si>
    <t>1Q for FYE 
Mar. 31, 2025</t>
    <phoneticPr fontId="2"/>
  </si>
  <si>
    <t>2Q for FYE 
Mar. 31, 2025</t>
    <phoneticPr fontId="2"/>
  </si>
  <si>
    <t>3Q for FYE 
Mar. 31, 2025</t>
    <phoneticPr fontId="2"/>
  </si>
  <si>
    <t>4Q for FYE 
Mar. 31, 2025</t>
    <phoneticPr fontId="2"/>
  </si>
  <si>
    <t>1Q for FYE 
Mar. 31, 2026</t>
    <phoneticPr fontId="2"/>
  </si>
  <si>
    <t>2Q for FYE 
Mar. 31, 2026</t>
    <phoneticPr fontId="2"/>
  </si>
  <si>
    <t>3Q for FYE 
Mar. 31, 2026</t>
    <phoneticPr fontId="2"/>
  </si>
  <si>
    <t>グローバル電動車小売　計/Electrified Vehicle Sales Total</t>
    <phoneticPr fontId="2"/>
  </si>
  <si>
    <t>(米国　計/US total)</t>
    <phoneticPr fontId="2"/>
  </si>
  <si>
    <t>CY</t>
    <phoneticPr fontId="2"/>
  </si>
  <si>
    <t/>
  </si>
  <si>
    <t>HEV/PHEV</t>
    <phoneticPr fontId="2"/>
  </si>
  <si>
    <t>HEV</t>
    <phoneticPr fontId="2"/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</si>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</sst>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CY&quot;0\ "/>
    <numFmt numFmtId="177" formatCode="&quot;FY&quot;00&quot; Q4&quot;\ "/>
    <numFmt numFmtId="178" formatCode="0.0%"/>
    <numFmt numFmtId="179" formatCode="#,##0.0;[Red]\-#,##0.0"/>
    <numFmt numFmtId="180" formatCode="#,##0.0_ ;[Red]\-#,##0.0\ "/>
    <numFmt numFmtId="181" formatCode="#,##0_ "/>
    <numFmt numFmtId="182" formatCode="#,##0_);[Red]\(#,##0\)"/>
    <numFmt numFmtId="183" formatCode="#,##0;[Red]\-#,##0;"/>
    <numFmt numFmtId="184" formatCode="#,##0.0%;[Red]\-#,##0.0%;"/>
    <numFmt numFmtId="185" formatCode="#,##0.0%;\-#,##0.0%;"/>
    <numFmt numFmtId="186" formatCode="&quot;ー&quot;"/>
    <numFmt numFmtId="187" formatCode="#.0"/>
    <numFmt numFmtId="188" formatCode="#"/>
    <numFmt numFmtId="189" formatCode="#,##0.000;[Red]\-#,##0.000"/>
    <numFmt numFmtId="190" formatCode="0,000.0%"/>
  </numFmts>
  <fonts count="4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b/>
      <sz val="11"/>
      <name val="Arial"/>
      <family val="2"/>
    </font>
    <font>
      <vertAlign val="superscript"/>
      <sz val="11"/>
      <color indexed="8"/>
      <name val="Arial"/>
      <family val="2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Arial"/>
      <family val="2"/>
    </font>
    <font>
      <b/>
      <sz val="11"/>
      <name val="Meiryo UI"/>
      <family val="3"/>
      <charset val="128"/>
    </font>
    <font>
      <sz val="14"/>
      <color indexed="8"/>
      <name val="Meiryo UI"/>
      <family val="3"/>
      <charset val="128"/>
    </font>
    <font>
      <b/>
      <sz val="14"/>
      <color indexed="8"/>
      <name val="Meiryo UI"/>
      <family val="3"/>
      <charset val="128"/>
    </font>
    <font>
      <sz val="11"/>
      <color indexed="8"/>
      <name val="Meiryo UI"/>
      <family val="3"/>
      <charset val="128"/>
    </font>
    <font>
      <b/>
      <sz val="16"/>
      <color indexed="8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1"/>
      <color indexed="8"/>
      <name val="Meiryo UI"/>
      <family val="3"/>
      <charset val="128"/>
    </font>
    <font>
      <b/>
      <sz val="16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9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theme="0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2"/>
      <color indexed="8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38" fontId="21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27">
    <xf numFmtId="0" fontId="0" fillId="0" borderId="0" xfId="0">
      <alignment vertical="center"/>
    </xf>
    <xf numFmtId="0" fontId="13" fillId="7" borderId="12" xfId="0" applyFont="1" applyFill="1" applyBorder="1" applyAlignment="1">
      <alignment horizontal="center" vertical="center"/>
    </xf>
    <xf numFmtId="0" fontId="13" fillId="0" borderId="34" xfId="0" applyFont="1" applyBorder="1" applyAlignment="1">
      <alignment vertical="center" wrapText="1"/>
    </xf>
    <xf numFmtId="182" fontId="13" fillId="0" borderId="34" xfId="0" applyNumberFormat="1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82" fontId="12" fillId="0" borderId="10" xfId="0" applyNumberFormat="1" applyFont="1" applyBorder="1" applyAlignment="1">
      <alignment vertical="center" wrapText="1"/>
    </xf>
    <xf numFmtId="182" fontId="12" fillId="0" borderId="10" xfId="0" applyNumberFormat="1" applyFont="1" applyBorder="1" applyAlignment="1">
      <alignment horizontal="right" vertical="center" wrapText="1"/>
    </xf>
    <xf numFmtId="0" fontId="12" fillId="0" borderId="23" xfId="0" applyFont="1" applyBorder="1" applyAlignment="1">
      <alignment vertical="center" wrapText="1"/>
    </xf>
    <xf numFmtId="182" fontId="12" fillId="0" borderId="23" xfId="0" applyNumberFormat="1" applyFont="1" applyBorder="1" applyAlignment="1">
      <alignment vertical="center" wrapText="1"/>
    </xf>
    <xf numFmtId="0" fontId="11" fillId="3" borderId="0" xfId="0" applyFont="1" applyFill="1">
      <alignment vertical="center"/>
    </xf>
    <xf numFmtId="0" fontId="12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13" fillId="0" borderId="23" xfId="0" applyFont="1" applyBorder="1" applyAlignment="1">
      <alignment vertical="center" wrapText="1"/>
    </xf>
    <xf numFmtId="181" fontId="13" fillId="0" borderId="23" xfId="0" applyNumberFormat="1" applyFont="1" applyBorder="1" applyAlignment="1">
      <alignment vertical="center" wrapText="1"/>
    </xf>
    <xf numFmtId="181" fontId="17" fillId="0" borderId="23" xfId="0" applyNumberFormat="1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181" fontId="13" fillId="0" borderId="12" xfId="0" applyNumberFormat="1" applyFont="1" applyBorder="1" applyAlignment="1">
      <alignment vertical="center" wrapText="1"/>
    </xf>
    <xf numFmtId="181" fontId="17" fillId="0" borderId="12" xfId="0" applyNumberFormat="1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181" fontId="12" fillId="0" borderId="35" xfId="0" applyNumberFormat="1" applyFont="1" applyBorder="1" applyAlignment="1">
      <alignment vertical="center" wrapText="1"/>
    </xf>
    <xf numFmtId="181" fontId="9" fillId="0" borderId="35" xfId="0" applyNumberFormat="1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181" fontId="12" fillId="0" borderId="34" xfId="0" applyNumberFormat="1" applyFont="1" applyBorder="1" applyAlignment="1">
      <alignment vertical="center" wrapText="1"/>
    </xf>
    <xf numFmtId="3" fontId="12" fillId="0" borderId="0" xfId="0" applyNumberFormat="1" applyFont="1">
      <alignment vertical="center"/>
    </xf>
    <xf numFmtId="181" fontId="9" fillId="0" borderId="34" xfId="0" applyNumberFormat="1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181" fontId="12" fillId="0" borderId="28" xfId="0" applyNumberFormat="1" applyFont="1" applyBorder="1" applyAlignment="1">
      <alignment vertical="center" wrapText="1"/>
    </xf>
    <xf numFmtId="181" fontId="9" fillId="0" borderId="28" xfId="0" applyNumberFormat="1" applyFont="1" applyBorder="1" applyAlignment="1">
      <alignment vertical="center" wrapText="1"/>
    </xf>
    <xf numFmtId="181" fontId="12" fillId="0" borderId="10" xfId="0" applyNumberFormat="1" applyFont="1" applyBorder="1" applyAlignment="1">
      <alignment vertical="center" wrapText="1"/>
    </xf>
    <xf numFmtId="181" fontId="9" fillId="0" borderId="10" xfId="0" applyNumberFormat="1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181" fontId="12" fillId="0" borderId="12" xfId="0" applyNumberFormat="1" applyFont="1" applyBorder="1" applyAlignment="1">
      <alignment vertical="center" wrapText="1"/>
    </xf>
    <xf numFmtId="181" fontId="9" fillId="0" borderId="12" xfId="0" applyNumberFormat="1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181" fontId="13" fillId="0" borderId="10" xfId="0" applyNumberFormat="1" applyFont="1" applyBorder="1" applyAlignment="1">
      <alignment vertical="center" wrapText="1"/>
    </xf>
    <xf numFmtId="181" fontId="17" fillId="0" borderId="10" xfId="0" applyNumberFormat="1" applyFont="1" applyBorder="1" applyAlignment="1">
      <alignment vertical="center" wrapText="1"/>
    </xf>
    <xf numFmtId="181" fontId="12" fillId="0" borderId="34" xfId="3" applyNumberFormat="1" applyFont="1" applyBorder="1" applyAlignment="1">
      <alignment vertical="center" wrapText="1"/>
    </xf>
    <xf numFmtId="181" fontId="13" fillId="0" borderId="10" xfId="4" applyNumberFormat="1" applyFont="1" applyBorder="1" applyAlignment="1">
      <alignment vertical="center" wrapText="1"/>
    </xf>
    <xf numFmtId="181" fontId="13" fillId="3" borderId="12" xfId="0" applyNumberFormat="1" applyFont="1" applyFill="1" applyBorder="1" applyAlignment="1">
      <alignment vertical="center" wrapText="1"/>
    </xf>
    <xf numFmtId="181" fontId="13" fillId="3" borderId="12" xfId="4" applyNumberFormat="1" applyFont="1" applyFill="1" applyBorder="1" applyAlignment="1">
      <alignment vertical="center" wrapText="1"/>
    </xf>
    <xf numFmtId="181" fontId="12" fillId="3" borderId="10" xfId="0" applyNumberFormat="1" applyFont="1" applyFill="1" applyBorder="1" applyAlignment="1">
      <alignment vertical="center" wrapText="1"/>
    </xf>
    <xf numFmtId="181" fontId="13" fillId="3" borderId="10" xfId="4" applyNumberFormat="1" applyFont="1" applyFill="1" applyBorder="1" applyAlignment="1">
      <alignment vertical="center" wrapText="1"/>
    </xf>
    <xf numFmtId="181" fontId="13" fillId="3" borderId="10" xfId="0" applyNumberFormat="1" applyFont="1" applyFill="1" applyBorder="1" applyAlignment="1">
      <alignment vertical="center" wrapText="1"/>
    </xf>
    <xf numFmtId="181" fontId="12" fillId="0" borderId="23" xfId="0" applyNumberFormat="1" applyFont="1" applyBorder="1" applyAlignment="1">
      <alignment vertical="center" wrapText="1"/>
    </xf>
    <xf numFmtId="0" fontId="14" fillId="0" borderId="0" xfId="4" applyFont="1">
      <alignment vertical="center"/>
    </xf>
    <xf numFmtId="0" fontId="15" fillId="0" borderId="0" xfId="4" applyFont="1">
      <alignment vertical="center"/>
    </xf>
    <xf numFmtId="0" fontId="12" fillId="0" borderId="0" xfId="4" applyFont="1">
      <alignment vertical="center"/>
    </xf>
    <xf numFmtId="0" fontId="10" fillId="0" borderId="0" xfId="4" applyFont="1">
      <alignment vertical="center"/>
    </xf>
    <xf numFmtId="0" fontId="11" fillId="0" borderId="0" xfId="4" applyFont="1">
      <alignment vertical="center"/>
    </xf>
    <xf numFmtId="0" fontId="13" fillId="7" borderId="12" xfId="4" applyFont="1" applyFill="1" applyBorder="1" applyAlignment="1">
      <alignment horizontal="center" vertical="center"/>
    </xf>
    <xf numFmtId="0" fontId="13" fillId="0" borderId="23" xfId="4" applyFont="1" applyBorder="1" applyAlignment="1">
      <alignment vertical="center" wrapText="1"/>
    </xf>
    <xf numFmtId="181" fontId="13" fillId="0" borderId="23" xfId="4" applyNumberFormat="1" applyFont="1" applyBorder="1" applyAlignment="1">
      <alignment vertical="center" wrapText="1"/>
    </xf>
    <xf numFmtId="181" fontId="17" fillId="0" borderId="23" xfId="4" applyNumberFormat="1" applyFont="1" applyBorder="1" applyAlignment="1">
      <alignment vertical="center" wrapText="1"/>
    </xf>
    <xf numFmtId="0" fontId="13" fillId="0" borderId="0" xfId="4" applyFont="1">
      <alignment vertical="center"/>
    </xf>
    <xf numFmtId="0" fontId="13" fillId="0" borderId="12" xfId="4" applyFont="1" applyBorder="1" applyAlignment="1">
      <alignment vertical="center" wrapText="1"/>
    </xf>
    <xf numFmtId="181" fontId="13" fillId="0" borderId="12" xfId="4" applyNumberFormat="1" applyFont="1" applyBorder="1" applyAlignment="1">
      <alignment vertical="center" wrapText="1"/>
    </xf>
    <xf numFmtId="181" fontId="17" fillId="0" borderId="12" xfId="4" applyNumberFormat="1" applyFont="1" applyBorder="1" applyAlignment="1">
      <alignment vertical="center" wrapText="1"/>
    </xf>
    <xf numFmtId="0" fontId="12" fillId="0" borderId="35" xfId="4" applyFont="1" applyBorder="1" applyAlignment="1">
      <alignment vertical="center" wrapText="1"/>
    </xf>
    <xf numFmtId="181" fontId="12" fillId="0" borderId="35" xfId="4" applyNumberFormat="1" applyFont="1" applyBorder="1" applyAlignment="1">
      <alignment vertical="center" wrapText="1"/>
    </xf>
    <xf numFmtId="181" fontId="9" fillId="0" borderId="35" xfId="4" applyNumberFormat="1" applyFont="1" applyBorder="1" applyAlignment="1">
      <alignment vertical="center" wrapText="1"/>
    </xf>
    <xf numFmtId="0" fontId="12" fillId="0" borderId="34" xfId="4" applyFont="1" applyBorder="1" applyAlignment="1">
      <alignment vertical="center" wrapText="1"/>
    </xf>
    <xf numFmtId="181" fontId="12" fillId="0" borderId="34" xfId="4" applyNumberFormat="1" applyFont="1" applyBorder="1" applyAlignment="1">
      <alignment vertical="center" wrapText="1"/>
    </xf>
    <xf numFmtId="3" fontId="12" fillId="0" borderId="0" xfId="4" applyNumberFormat="1" applyFont="1">
      <alignment vertical="center"/>
    </xf>
    <xf numFmtId="181" fontId="9" fillId="0" borderId="34" xfId="4" applyNumberFormat="1" applyFont="1" applyBorder="1" applyAlignment="1">
      <alignment vertical="center" wrapText="1"/>
    </xf>
    <xf numFmtId="0" fontId="12" fillId="0" borderId="28" xfId="4" applyFont="1" applyBorder="1" applyAlignment="1">
      <alignment vertical="center" wrapText="1"/>
    </xf>
    <xf numFmtId="181" fontId="12" fillId="0" borderId="28" xfId="4" applyNumberFormat="1" applyFont="1" applyBorder="1" applyAlignment="1">
      <alignment vertical="center" wrapText="1"/>
    </xf>
    <xf numFmtId="181" fontId="9" fillId="0" borderId="28" xfId="4" applyNumberFormat="1" applyFont="1" applyBorder="1" applyAlignment="1">
      <alignment vertical="center" wrapText="1"/>
    </xf>
    <xf numFmtId="0" fontId="12" fillId="0" borderId="10" xfId="4" applyFont="1" applyBorder="1" applyAlignment="1">
      <alignment vertical="center" wrapText="1"/>
    </xf>
    <xf numFmtId="181" fontId="12" fillId="0" borderId="10" xfId="4" applyNumberFormat="1" applyFont="1" applyBorder="1" applyAlignment="1">
      <alignment vertical="center" wrapText="1"/>
    </xf>
    <xf numFmtId="181" fontId="9" fillId="0" borderId="10" xfId="4" applyNumberFormat="1" applyFont="1" applyBorder="1" applyAlignment="1">
      <alignment vertical="center" wrapText="1"/>
    </xf>
    <xf numFmtId="0" fontId="12" fillId="0" borderId="12" xfId="4" applyFont="1" applyBorder="1" applyAlignment="1">
      <alignment vertical="center" wrapText="1"/>
    </xf>
    <xf numFmtId="181" fontId="12" fillId="0" borderId="12" xfId="4" applyNumberFormat="1" applyFont="1" applyBorder="1" applyAlignment="1">
      <alignment vertical="center" wrapText="1"/>
    </xf>
    <xf numFmtId="181" fontId="9" fillId="0" borderId="12" xfId="4" applyNumberFormat="1" applyFont="1" applyBorder="1" applyAlignment="1">
      <alignment vertical="center" wrapText="1"/>
    </xf>
    <xf numFmtId="0" fontId="13" fillId="0" borderId="10" xfId="4" applyFont="1" applyBorder="1" applyAlignment="1">
      <alignment vertical="center" wrapText="1"/>
    </xf>
    <xf numFmtId="181" fontId="17" fillId="0" borderId="10" xfId="4" applyNumberFormat="1" applyFont="1" applyBorder="1" applyAlignment="1">
      <alignment vertical="center" wrapText="1"/>
    </xf>
    <xf numFmtId="181" fontId="12" fillId="0" borderId="10" xfId="3" applyNumberFormat="1" applyFont="1" applyBorder="1" applyAlignment="1">
      <alignment vertical="center" wrapText="1"/>
    </xf>
    <xf numFmtId="181" fontId="12" fillId="3" borderId="10" xfId="4" applyNumberFormat="1" applyFont="1" applyFill="1" applyBorder="1" applyAlignment="1">
      <alignment vertical="center" wrapText="1"/>
    </xf>
    <xf numFmtId="181" fontId="12" fillId="0" borderId="0" xfId="4" applyNumberFormat="1" applyFont="1">
      <alignment vertical="center"/>
    </xf>
    <xf numFmtId="0" fontId="12" fillId="0" borderId="23" xfId="4" applyFont="1" applyBorder="1" applyAlignment="1">
      <alignment vertical="center" wrapText="1"/>
    </xf>
    <xf numFmtId="38" fontId="22" fillId="0" borderId="23" xfId="5" applyFont="1" applyBorder="1" applyAlignment="1"/>
    <xf numFmtId="181" fontId="12" fillId="0" borderId="23" xfId="4" applyNumberFormat="1" applyFont="1" applyBorder="1" applyAlignment="1">
      <alignment vertical="center" wrapText="1"/>
    </xf>
    <xf numFmtId="3" fontId="22" fillId="0" borderId="23" xfId="4" applyNumberFormat="1" applyFont="1" applyBorder="1" applyAlignment="1"/>
    <xf numFmtId="0" fontId="13" fillId="0" borderId="34" xfId="4" applyFont="1" applyBorder="1" applyAlignment="1">
      <alignment vertical="center" wrapText="1"/>
    </xf>
    <xf numFmtId="182" fontId="13" fillId="0" borderId="34" xfId="4" applyNumberFormat="1" applyFont="1" applyBorder="1" applyAlignment="1">
      <alignment vertical="center" wrapText="1"/>
    </xf>
    <xf numFmtId="182" fontId="12" fillId="0" borderId="10" xfId="4" applyNumberFormat="1" applyFont="1" applyBorder="1" applyAlignment="1">
      <alignment vertical="center" wrapText="1"/>
    </xf>
    <xf numFmtId="182" fontId="12" fillId="0" borderId="23" xfId="4" applyNumberFormat="1" applyFont="1" applyBorder="1" applyAlignment="1">
      <alignment vertical="center" wrapText="1"/>
    </xf>
    <xf numFmtId="182" fontId="12" fillId="0" borderId="10" xfId="4" applyNumberFormat="1" applyFont="1" applyBorder="1" applyAlignment="1">
      <alignment horizontal="right" vertical="center" wrapText="1"/>
    </xf>
    <xf numFmtId="181" fontId="13" fillId="0" borderId="0" xfId="4" applyNumberFormat="1" applyFont="1">
      <alignment vertical="center"/>
    </xf>
    <xf numFmtId="0" fontId="4" fillId="0" borderId="0" xfId="3" applyFont="1">
      <alignment vertical="center"/>
    </xf>
    <xf numFmtId="38" fontId="6" fillId="2" borderId="3" xfId="6" applyFont="1" applyFill="1" applyBorder="1">
      <alignment vertical="center"/>
    </xf>
    <xf numFmtId="0" fontId="24" fillId="0" borderId="0" xfId="4" applyFont="1">
      <alignment vertical="center"/>
    </xf>
    <xf numFmtId="0" fontId="25" fillId="0" borderId="0" xfId="4" applyFont="1">
      <alignment vertical="center"/>
    </xf>
    <xf numFmtId="0" fontId="26" fillId="0" borderId="0" xfId="4" applyFont="1">
      <alignment vertical="center"/>
    </xf>
    <xf numFmtId="0" fontId="27" fillId="0" borderId="0" xfId="4" applyFont="1">
      <alignment vertical="center"/>
    </xf>
    <xf numFmtId="0" fontId="28" fillId="0" borderId="0" xfId="4" applyFont="1">
      <alignment vertical="center"/>
    </xf>
    <xf numFmtId="0" fontId="29" fillId="4" borderId="12" xfId="4" applyFont="1" applyFill="1" applyBorder="1" applyAlignment="1">
      <alignment horizontal="center" vertical="center"/>
    </xf>
    <xf numFmtId="0" fontId="29" fillId="4" borderId="34" xfId="4" applyFont="1" applyFill="1" applyBorder="1" applyAlignment="1">
      <alignment vertical="center" wrapText="1"/>
    </xf>
    <xf numFmtId="182" fontId="29" fillId="0" borderId="34" xfId="4" applyNumberFormat="1" applyFont="1" applyBorder="1" applyAlignment="1">
      <alignment vertical="center" wrapText="1"/>
    </xf>
    <xf numFmtId="0" fontId="26" fillId="4" borderId="10" xfId="4" applyFont="1" applyFill="1" applyBorder="1" applyAlignment="1">
      <alignment vertical="center" wrapText="1"/>
    </xf>
    <xf numFmtId="182" fontId="26" fillId="0" borderId="10" xfId="4" applyNumberFormat="1" applyFont="1" applyBorder="1" applyAlignment="1">
      <alignment vertical="center" wrapText="1"/>
    </xf>
    <xf numFmtId="0" fontId="26" fillId="0" borderId="23" xfId="4" applyFont="1" applyBorder="1" applyAlignment="1">
      <alignment vertical="center" wrapText="1"/>
    </xf>
    <xf numFmtId="182" fontId="26" fillId="0" borderId="23" xfId="4" applyNumberFormat="1" applyFont="1" applyBorder="1" applyAlignment="1">
      <alignment vertical="center" wrapText="1"/>
    </xf>
    <xf numFmtId="0" fontId="26" fillId="4" borderId="23" xfId="4" applyFont="1" applyFill="1" applyBorder="1" applyAlignment="1">
      <alignment vertical="center" wrapText="1"/>
    </xf>
    <xf numFmtId="38" fontId="6" fillId="2" borderId="0" xfId="1" applyFont="1" applyFill="1" applyAlignment="1">
      <alignment vertical="center"/>
    </xf>
    <xf numFmtId="0" fontId="6" fillId="2" borderId="0" xfId="2" applyFont="1" applyFill="1">
      <alignment vertical="center"/>
    </xf>
    <xf numFmtId="0" fontId="4" fillId="3" borderId="0" xfId="0" applyFont="1" applyFill="1">
      <alignment vertical="center"/>
    </xf>
    <xf numFmtId="0" fontId="30" fillId="2" borderId="0" xfId="2" applyFont="1" applyFill="1">
      <alignment vertical="center"/>
    </xf>
    <xf numFmtId="0" fontId="31" fillId="2" borderId="0" xfId="2" applyFont="1" applyFill="1">
      <alignment vertical="center"/>
    </xf>
    <xf numFmtId="179" fontId="31" fillId="2" borderId="0" xfId="2" applyNumberFormat="1" applyFont="1" applyFill="1">
      <alignment vertical="center"/>
    </xf>
    <xf numFmtId="179" fontId="31" fillId="2" borderId="0" xfId="1" applyNumberFormat="1" applyFont="1" applyFill="1" applyAlignment="1">
      <alignment vertical="center"/>
    </xf>
    <xf numFmtId="38" fontId="4" fillId="2" borderId="0" xfId="1" applyFont="1" applyFill="1" applyAlignment="1">
      <alignment horizontal="right"/>
    </xf>
    <xf numFmtId="0" fontId="32" fillId="2" borderId="12" xfId="2" applyNumberFormat="1" applyFont="1" applyFill="1" applyBorder="1" applyAlignment="1">
      <alignment horizontal="center" vertical="center"/>
    </xf>
    <xf numFmtId="0" fontId="32" fillId="4" borderId="2" xfId="2" applyFont="1" applyFill="1" applyBorder="1">
      <alignment vertical="center"/>
    </xf>
    <xf numFmtId="0" fontId="31" fillId="4" borderId="3" xfId="2" applyFont="1" applyFill="1" applyBorder="1">
      <alignment vertical="center"/>
    </xf>
    <xf numFmtId="38" fontId="31" fillId="4" borderId="12" xfId="1" applyFont="1" applyFill="1" applyBorder="1" applyAlignment="1">
      <alignment vertical="center"/>
    </xf>
    <xf numFmtId="0" fontId="31" fillId="4" borderId="7" xfId="2" applyFont="1" applyFill="1" applyBorder="1">
      <alignment vertical="center"/>
    </xf>
    <xf numFmtId="0" fontId="31" fillId="2" borderId="2" xfId="2" applyFont="1" applyFill="1" applyBorder="1">
      <alignment vertical="center"/>
    </xf>
    <xf numFmtId="0" fontId="31" fillId="2" borderId="3" xfId="2" applyFont="1" applyFill="1" applyBorder="1">
      <alignment vertical="center"/>
    </xf>
    <xf numFmtId="38" fontId="31" fillId="2" borderId="12" xfId="1" applyFont="1" applyFill="1" applyBorder="1" applyAlignment="1">
      <alignment vertical="center"/>
    </xf>
    <xf numFmtId="0" fontId="31" fillId="2" borderId="20" xfId="2" applyFont="1" applyFill="1" applyBorder="1">
      <alignment vertical="center"/>
    </xf>
    <xf numFmtId="0" fontId="31" fillId="2" borderId="21" xfId="2" applyFont="1" applyFill="1" applyBorder="1">
      <alignment vertical="center"/>
    </xf>
    <xf numFmtId="38" fontId="31" fillId="2" borderId="22" xfId="1" applyFont="1" applyFill="1" applyBorder="1" applyAlignment="1">
      <alignment vertical="center"/>
    </xf>
    <xf numFmtId="0" fontId="31" fillId="2" borderId="7" xfId="2" applyFont="1" applyFill="1" applyBorder="1">
      <alignment vertical="center"/>
    </xf>
    <xf numFmtId="0" fontId="31" fillId="2" borderId="0" xfId="2" applyFont="1" applyFill="1" applyBorder="1">
      <alignment vertical="center"/>
    </xf>
    <xf numFmtId="38" fontId="31" fillId="2" borderId="19" xfId="1" applyFont="1" applyFill="1" applyBorder="1" applyAlignment="1">
      <alignment vertical="center"/>
    </xf>
    <xf numFmtId="0" fontId="31" fillId="2" borderId="4" xfId="2" applyFont="1" applyFill="1" applyBorder="1">
      <alignment vertical="center"/>
    </xf>
    <xf numFmtId="0" fontId="31" fillId="2" borderId="5" xfId="2" applyFont="1" applyFill="1" applyBorder="1">
      <alignment vertical="center"/>
    </xf>
    <xf numFmtId="38" fontId="31" fillId="2" borderId="23" xfId="1" applyFont="1" applyFill="1" applyBorder="1" applyAlignment="1">
      <alignment vertical="center"/>
    </xf>
    <xf numFmtId="0" fontId="31" fillId="2" borderId="14" xfId="2" applyFont="1" applyFill="1" applyBorder="1">
      <alignment vertical="center"/>
    </xf>
    <xf numFmtId="38" fontId="31" fillId="2" borderId="15" xfId="1" applyFont="1" applyFill="1" applyBorder="1" applyAlignment="1">
      <alignment vertical="center"/>
    </xf>
    <xf numFmtId="38" fontId="31" fillId="2" borderId="37" xfId="1" applyFont="1" applyFill="1" applyBorder="1" applyAlignment="1">
      <alignment vertical="center"/>
    </xf>
    <xf numFmtId="0" fontId="32" fillId="6" borderId="31" xfId="2" applyFont="1" applyFill="1" applyBorder="1">
      <alignment vertical="center"/>
    </xf>
    <xf numFmtId="38" fontId="32" fillId="6" borderId="28" xfId="1" applyFont="1" applyFill="1" applyBorder="1" applyAlignment="1">
      <alignment vertical="center"/>
    </xf>
    <xf numFmtId="38" fontId="6" fillId="0" borderId="0" xfId="6" applyFont="1" applyFill="1" applyBorder="1">
      <alignment vertical="center"/>
    </xf>
    <xf numFmtId="0" fontId="23" fillId="0" borderId="1" xfId="3" applyFont="1" applyFill="1" applyBorder="1" applyAlignment="1">
      <alignment horizontal="center" vertical="center"/>
    </xf>
    <xf numFmtId="0" fontId="23" fillId="0" borderId="9" xfId="3" applyFont="1" applyFill="1" applyBorder="1" applyAlignment="1">
      <alignment horizontal="center" vertical="center"/>
    </xf>
    <xf numFmtId="0" fontId="23" fillId="0" borderId="10" xfId="3" applyFont="1" applyFill="1" applyBorder="1" applyAlignment="1">
      <alignment horizontal="center" vertical="center"/>
    </xf>
    <xf numFmtId="0" fontId="23" fillId="0" borderId="11" xfId="3" applyFont="1" applyFill="1" applyBorder="1" applyAlignment="1">
      <alignment horizontal="center" vertical="center"/>
    </xf>
    <xf numFmtId="38" fontId="23" fillId="0" borderId="8" xfId="3" applyNumberFormat="1" applyFont="1" applyFill="1" applyBorder="1" applyAlignment="1">
      <alignment horizontal="center" vertical="center"/>
    </xf>
    <xf numFmtId="38" fontId="23" fillId="0" borderId="1" xfId="3" applyNumberFormat="1" applyFont="1" applyFill="1" applyBorder="1" applyAlignment="1">
      <alignment horizontal="center" vertical="center"/>
    </xf>
    <xf numFmtId="38" fontId="23" fillId="0" borderId="10" xfId="3" applyNumberFormat="1" applyFont="1" applyFill="1" applyBorder="1" applyAlignment="1">
      <alignment horizontal="center" vertical="center"/>
    </xf>
    <xf numFmtId="38" fontId="23" fillId="0" borderId="11" xfId="3" applyNumberFormat="1" applyFont="1" applyFill="1" applyBorder="1" applyAlignment="1">
      <alignment horizontal="center" vertical="center"/>
    </xf>
    <xf numFmtId="178" fontId="6" fillId="0" borderId="4" xfId="7" applyNumberFormat="1" applyFont="1" applyFill="1" applyBorder="1" applyAlignment="1">
      <alignment horizontal="center" vertical="center"/>
    </xf>
    <xf numFmtId="178" fontId="6" fillId="0" borderId="5" xfId="7" applyNumberFormat="1" applyFont="1" applyFill="1" applyBorder="1" applyAlignment="1">
      <alignment horizontal="center" vertical="center"/>
    </xf>
    <xf numFmtId="178" fontId="6" fillId="0" borderId="9" xfId="7" applyNumberFormat="1" applyFont="1" applyFill="1" applyBorder="1" applyAlignment="1">
      <alignment horizontal="center" vertical="center"/>
    </xf>
    <xf numFmtId="38" fontId="6" fillId="0" borderId="3" xfId="6" applyFont="1" applyFill="1" applyBorder="1">
      <alignment vertical="center"/>
    </xf>
    <xf numFmtId="38" fontId="23" fillId="2" borderId="3" xfId="6" applyFont="1" applyFill="1" applyBorder="1">
      <alignment vertical="center"/>
    </xf>
    <xf numFmtId="0" fontId="23" fillId="8" borderId="8" xfId="3" applyFont="1" applyFill="1" applyBorder="1" applyAlignment="1">
      <alignment horizontal="center" vertical="center"/>
    </xf>
    <xf numFmtId="0" fontId="23" fillId="8" borderId="1" xfId="3" applyFont="1" applyFill="1" applyBorder="1" applyAlignment="1">
      <alignment horizontal="center" vertical="center"/>
    </xf>
    <xf numFmtId="0" fontId="23" fillId="8" borderId="4" xfId="3" applyFont="1" applyFill="1" applyBorder="1" applyAlignment="1">
      <alignment horizontal="center" vertical="center"/>
    </xf>
    <xf numFmtId="0" fontId="23" fillId="8" borderId="5" xfId="3" applyFont="1" applyFill="1" applyBorder="1" applyAlignment="1">
      <alignment horizontal="center" vertical="center"/>
    </xf>
    <xf numFmtId="38" fontId="4" fillId="2" borderId="0" xfId="1" applyFont="1" applyFill="1" applyAlignment="1"/>
    <xf numFmtId="0" fontId="32" fillId="2" borderId="3" xfId="2" applyFont="1" applyFill="1" applyBorder="1">
      <alignment vertical="center"/>
    </xf>
    <xf numFmtId="0" fontId="32" fillId="2" borderId="3" xfId="2" applyFont="1" applyFill="1" applyBorder="1" applyAlignment="1">
      <alignment horizontal="centerContinuous" vertical="center"/>
    </xf>
    <xf numFmtId="179" fontId="32" fillId="2" borderId="3" xfId="2" applyNumberFormat="1" applyFont="1" applyFill="1" applyBorder="1" applyAlignment="1">
      <alignment horizontal="centerContinuous" vertical="center"/>
    </xf>
    <xf numFmtId="180" fontId="32" fillId="2" borderId="3" xfId="2" applyNumberFormat="1" applyFont="1" applyFill="1" applyBorder="1" applyAlignment="1">
      <alignment horizontal="centerContinuous" vertical="center"/>
    </xf>
    <xf numFmtId="179" fontId="32" fillId="2" borderId="6" xfId="2" applyNumberFormat="1" applyFont="1" applyFill="1" applyBorder="1" applyAlignment="1">
      <alignment horizontal="centerContinuous" vertical="center"/>
    </xf>
    <xf numFmtId="0" fontId="32" fillId="2" borderId="0" xfId="2" applyFont="1" applyFill="1" applyBorder="1">
      <alignment vertical="center"/>
    </xf>
    <xf numFmtId="38" fontId="31" fillId="4" borderId="19" xfId="1" applyFont="1" applyFill="1" applyBorder="1" applyAlignment="1">
      <alignment vertical="center"/>
    </xf>
    <xf numFmtId="38" fontId="31" fillId="4" borderId="7" xfId="1" applyFont="1" applyFill="1" applyBorder="1" applyAlignment="1">
      <alignment vertical="center"/>
    </xf>
    <xf numFmtId="38" fontId="31" fillId="4" borderId="2" xfId="1" applyFont="1" applyFill="1" applyBorder="1" applyAlignment="1">
      <alignment vertical="center"/>
    </xf>
    <xf numFmtId="38" fontId="31" fillId="2" borderId="2" xfId="1" applyFont="1" applyFill="1" applyBorder="1" applyAlignment="1">
      <alignment vertical="center"/>
    </xf>
    <xf numFmtId="38" fontId="31" fillId="2" borderId="20" xfId="1" applyFont="1" applyFill="1" applyBorder="1" applyAlignment="1">
      <alignment vertical="center"/>
    </xf>
    <xf numFmtId="38" fontId="31" fillId="2" borderId="7" xfId="1" applyFont="1" applyFill="1" applyBorder="1" applyAlignment="1">
      <alignment vertical="center"/>
    </xf>
    <xf numFmtId="38" fontId="31" fillId="2" borderId="4" xfId="1" applyFont="1" applyFill="1" applyBorder="1" applyAlignment="1">
      <alignment vertical="center"/>
    </xf>
    <xf numFmtId="0" fontId="31" fillId="4" borderId="8" xfId="2" applyFont="1" applyFill="1" applyBorder="1">
      <alignment vertical="center"/>
    </xf>
    <xf numFmtId="0" fontId="31" fillId="2" borderId="8" xfId="2" applyFont="1" applyFill="1" applyBorder="1">
      <alignment vertical="center"/>
    </xf>
    <xf numFmtId="38" fontId="31" fillId="2" borderId="31" xfId="1" applyFont="1" applyFill="1" applyBorder="1" applyAlignment="1">
      <alignment vertical="center"/>
    </xf>
    <xf numFmtId="179" fontId="32" fillId="2" borderId="5" xfId="2" applyNumberFormat="1" applyFont="1" applyFill="1" applyBorder="1" applyAlignment="1">
      <alignment horizontal="centerContinuous" vertical="center"/>
    </xf>
    <xf numFmtId="38" fontId="32" fillId="2" borderId="31" xfId="1" applyFont="1" applyFill="1" applyBorder="1" applyAlignment="1">
      <alignment vertical="center"/>
    </xf>
    <xf numFmtId="0" fontId="26" fillId="3" borderId="0" xfId="0" applyFont="1" applyFill="1">
      <alignment vertical="center"/>
    </xf>
    <xf numFmtId="181" fontId="29" fillId="3" borderId="0" xfId="0" applyNumberFormat="1" applyFont="1" applyFill="1">
      <alignment vertical="center"/>
    </xf>
    <xf numFmtId="0" fontId="29" fillId="3" borderId="0" xfId="0" applyFont="1" applyFill="1">
      <alignment vertical="center"/>
    </xf>
    <xf numFmtId="0" fontId="29" fillId="0" borderId="0" xfId="0" applyFont="1" applyFill="1" applyBorder="1" applyAlignment="1">
      <alignment vertical="center" wrapText="1"/>
    </xf>
    <xf numFmtId="182" fontId="29" fillId="0" borderId="0" xfId="0" applyNumberFormat="1" applyFont="1" applyFill="1" applyBorder="1" applyAlignment="1">
      <alignment vertical="center" wrapText="1"/>
    </xf>
    <xf numFmtId="0" fontId="27" fillId="3" borderId="0" xfId="0" applyFont="1" applyFill="1">
      <alignment vertical="center"/>
    </xf>
    <xf numFmtId="0" fontId="29" fillId="0" borderId="8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6" fillId="3" borderId="2" xfId="0" applyFont="1" applyFill="1" applyBorder="1">
      <alignment vertical="center"/>
    </xf>
    <xf numFmtId="0" fontId="26" fillId="3" borderId="6" xfId="0" applyFont="1" applyFill="1" applyBorder="1">
      <alignment vertical="center"/>
    </xf>
    <xf numFmtId="0" fontId="26" fillId="3" borderId="7" xfId="0" applyFont="1" applyFill="1" applyBorder="1">
      <alignment vertical="center"/>
    </xf>
    <xf numFmtId="0" fontId="26" fillId="3" borderId="9" xfId="0" applyFont="1" applyFill="1" applyBorder="1">
      <alignment vertical="center"/>
    </xf>
    <xf numFmtId="0" fontId="23" fillId="0" borderId="4" xfId="3" applyFont="1" applyFill="1" applyBorder="1" applyAlignment="1">
      <alignment horizontal="center" vertical="center"/>
    </xf>
    <xf numFmtId="0" fontId="23" fillId="0" borderId="5" xfId="3" applyFont="1" applyFill="1" applyBorder="1" applyAlignment="1">
      <alignment horizontal="center" vertical="center"/>
    </xf>
    <xf numFmtId="38" fontId="31" fillId="2" borderId="0" xfId="1" applyFont="1" applyFill="1" applyBorder="1" applyAlignment="1">
      <alignment vertical="center"/>
    </xf>
    <xf numFmtId="38" fontId="32" fillId="2" borderId="3" xfId="1" applyFont="1" applyFill="1" applyBorder="1" applyAlignment="1">
      <alignment vertical="center"/>
    </xf>
    <xf numFmtId="0" fontId="31" fillId="2" borderId="36" xfId="2" applyFont="1" applyFill="1" applyBorder="1">
      <alignment vertical="center"/>
    </xf>
    <xf numFmtId="0" fontId="31" fillId="4" borderId="6" xfId="2" applyFont="1" applyFill="1" applyBorder="1">
      <alignment vertical="center"/>
    </xf>
    <xf numFmtId="178" fontId="23" fillId="0" borderId="11" xfId="7" applyNumberFormat="1" applyFont="1" applyFill="1" applyBorder="1" applyAlignment="1">
      <alignment horizontal="center" vertical="center"/>
    </xf>
    <xf numFmtId="0" fontId="33" fillId="0" borderId="0" xfId="3" applyFont="1">
      <alignment vertical="center"/>
    </xf>
    <xf numFmtId="0" fontId="4" fillId="0" borderId="0" xfId="3" applyFont="1">
      <alignment vertical="center"/>
    </xf>
    <xf numFmtId="0" fontId="6" fillId="2" borderId="2" xfId="3" applyFont="1" applyFill="1" applyBorder="1">
      <alignment vertical="center"/>
    </xf>
    <xf numFmtId="0" fontId="6" fillId="2" borderId="3" xfId="3" applyFont="1" applyFill="1" applyBorder="1">
      <alignment vertical="center"/>
    </xf>
    <xf numFmtId="0" fontId="6" fillId="2" borderId="7" xfId="3" applyFont="1" applyFill="1" applyBorder="1">
      <alignment vertical="center"/>
    </xf>
    <xf numFmtId="0" fontId="6" fillId="2" borderId="0" xfId="3" applyFont="1" applyFill="1">
      <alignment vertical="center"/>
    </xf>
    <xf numFmtId="0" fontId="6" fillId="2" borderId="8" xfId="3" applyFont="1" applyFill="1" applyBorder="1">
      <alignment vertical="center"/>
    </xf>
    <xf numFmtId="0" fontId="6" fillId="2" borderId="1" xfId="3" applyFont="1" applyFill="1" applyBorder="1">
      <alignment vertical="center"/>
    </xf>
    <xf numFmtId="38" fontId="4" fillId="0" borderId="0" xfId="3" applyNumberFormat="1" applyFont="1">
      <alignment vertical="center"/>
    </xf>
    <xf numFmtId="0" fontId="7" fillId="3" borderId="0" xfId="3" applyFont="1" applyFill="1">
      <alignment vertical="center"/>
    </xf>
    <xf numFmtId="0" fontId="6" fillId="3" borderId="0" xfId="3" applyFont="1" applyFill="1">
      <alignment vertical="center"/>
    </xf>
    <xf numFmtId="38" fontId="6" fillId="3" borderId="0" xfId="6" applyFont="1" applyFill="1" applyBorder="1">
      <alignment vertical="center"/>
    </xf>
    <xf numFmtId="0" fontId="5" fillId="0" borderId="0" xfId="3" applyFont="1">
      <alignment vertical="center"/>
    </xf>
    <xf numFmtId="178" fontId="6" fillId="2" borderId="2" xfId="7" applyNumberFormat="1" applyFont="1" applyFill="1" applyBorder="1">
      <alignment vertical="center"/>
    </xf>
    <xf numFmtId="178" fontId="6" fillId="2" borderId="3" xfId="7" applyNumberFormat="1" applyFont="1" applyFill="1" applyBorder="1">
      <alignment vertical="center"/>
    </xf>
    <xf numFmtId="178" fontId="6" fillId="2" borderId="7" xfId="7" applyNumberFormat="1" applyFont="1" applyFill="1" applyBorder="1">
      <alignment vertical="center"/>
    </xf>
    <xf numFmtId="178" fontId="6" fillId="2" borderId="0" xfId="7" applyNumberFormat="1" applyFont="1" applyFill="1" applyBorder="1">
      <alignment vertical="center"/>
    </xf>
    <xf numFmtId="178" fontId="6" fillId="2" borderId="8" xfId="7" applyNumberFormat="1" applyFont="1" applyFill="1" applyBorder="1">
      <alignment vertical="center"/>
    </xf>
    <xf numFmtId="178" fontId="6" fillId="2" borderId="1" xfId="7" applyNumberFormat="1" applyFont="1" applyFill="1" applyBorder="1">
      <alignment vertical="center"/>
    </xf>
    <xf numFmtId="38" fontId="31" fillId="2" borderId="3" xfId="1" applyFont="1" applyFill="1" applyBorder="1" applyAlignment="1">
      <alignment vertical="center"/>
    </xf>
    <xf numFmtId="0" fontId="32" fillId="6" borderId="30" xfId="2" applyFont="1" applyFill="1" applyBorder="1">
      <alignment vertical="center"/>
    </xf>
    <xf numFmtId="0" fontId="32" fillId="6" borderId="26" xfId="2" applyFont="1" applyFill="1" applyBorder="1">
      <alignment vertical="center"/>
    </xf>
    <xf numFmtId="0" fontId="31" fillId="2" borderId="16" xfId="2" applyFont="1" applyFill="1" applyBorder="1">
      <alignment vertical="center"/>
    </xf>
    <xf numFmtId="0" fontId="4" fillId="0" borderId="0" xfId="0" applyFont="1">
      <alignment vertical="center"/>
    </xf>
    <xf numFmtId="0" fontId="23" fillId="0" borderId="23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0" fontId="23" fillId="0" borderId="9" xfId="3" applyFont="1" applyBorder="1" applyAlignment="1">
      <alignment horizontal="center" vertical="center"/>
    </xf>
    <xf numFmtId="0" fontId="23" fillId="0" borderId="10" xfId="3" applyFont="1" applyBorder="1" applyAlignment="1">
      <alignment horizontal="center" vertical="center"/>
    </xf>
    <xf numFmtId="0" fontId="23" fillId="0" borderId="11" xfId="3" applyFont="1" applyBorder="1" applyAlignment="1">
      <alignment horizontal="center" vertical="center"/>
    </xf>
    <xf numFmtId="0" fontId="23" fillId="0" borderId="23" xfId="3" applyFont="1" applyBorder="1" applyAlignment="1">
      <alignment horizontal="center" vertical="center"/>
    </xf>
    <xf numFmtId="38" fontId="23" fillId="0" borderId="10" xfId="3" applyNumberFormat="1" applyFont="1" applyBorder="1" applyAlignment="1">
      <alignment horizontal="center" vertical="center"/>
    </xf>
    <xf numFmtId="38" fontId="23" fillId="0" borderId="11" xfId="3" applyNumberFormat="1" applyFont="1" applyBorder="1" applyAlignment="1">
      <alignment horizontal="center" vertical="center"/>
    </xf>
    <xf numFmtId="0" fontId="4" fillId="0" borderId="0" xfId="3" applyFont="1" applyAlignment="1">
      <alignment horizontal="right" vertical="center"/>
    </xf>
    <xf numFmtId="0" fontId="31" fillId="2" borderId="13" xfId="2" applyFont="1" applyFill="1" applyBorder="1">
      <alignment vertical="center"/>
    </xf>
    <xf numFmtId="0" fontId="31" fillId="2" borderId="40" xfId="2" applyFont="1" applyFill="1" applyBorder="1">
      <alignment vertical="center"/>
    </xf>
    <xf numFmtId="0" fontId="31" fillId="2" borderId="41" xfId="2" applyFont="1" applyFill="1" applyBorder="1">
      <alignment vertical="center"/>
    </xf>
    <xf numFmtId="0" fontId="31" fillId="2" borderId="42" xfId="2" applyFont="1" applyFill="1" applyBorder="1">
      <alignment vertical="center"/>
    </xf>
    <xf numFmtId="38" fontId="31" fillId="2" borderId="13" xfId="1" applyFont="1" applyFill="1" applyBorder="1" applyAlignment="1">
      <alignment vertical="center"/>
    </xf>
    <xf numFmtId="38" fontId="31" fillId="2" borderId="18" xfId="1" applyFont="1" applyFill="1" applyBorder="1" applyAlignment="1">
      <alignment vertical="center"/>
    </xf>
    <xf numFmtId="38" fontId="31" fillId="2" borderId="16" xfId="1" applyFont="1" applyFill="1" applyBorder="1" applyAlignment="1">
      <alignment vertical="center"/>
    </xf>
    <xf numFmtId="38" fontId="31" fillId="0" borderId="18" xfId="1" applyFont="1" applyFill="1" applyBorder="1" applyAlignment="1">
      <alignment vertical="center"/>
    </xf>
    <xf numFmtId="38" fontId="31" fillId="0" borderId="16" xfId="1" applyFont="1" applyFill="1" applyBorder="1" applyAlignment="1">
      <alignment vertical="center"/>
    </xf>
    <xf numFmtId="0" fontId="31" fillId="2" borderId="17" xfId="2" applyFont="1" applyFill="1" applyBorder="1">
      <alignment vertical="center"/>
    </xf>
    <xf numFmtId="183" fontId="31" fillId="4" borderId="12" xfId="1" applyNumberFormat="1" applyFont="1" applyFill="1" applyBorder="1" applyAlignment="1">
      <alignment vertical="center"/>
    </xf>
    <xf numFmtId="183" fontId="31" fillId="4" borderId="19" xfId="1" applyNumberFormat="1" applyFont="1" applyFill="1" applyBorder="1" applyAlignment="1">
      <alignment vertical="center"/>
    </xf>
    <xf numFmtId="183" fontId="31" fillId="4" borderId="2" xfId="1" applyNumberFormat="1" applyFont="1" applyFill="1" applyBorder="1" applyAlignment="1">
      <alignment vertical="center"/>
    </xf>
    <xf numFmtId="183" fontId="31" fillId="2" borderId="15" xfId="1" applyNumberFormat="1" applyFont="1" applyFill="1" applyBorder="1" applyAlignment="1">
      <alignment vertical="center"/>
    </xf>
    <xf numFmtId="183" fontId="31" fillId="2" borderId="12" xfId="1" applyNumberFormat="1" applyFont="1" applyFill="1" applyBorder="1" applyAlignment="1">
      <alignment vertical="center"/>
    </xf>
    <xf numFmtId="183" fontId="31" fillId="2" borderId="2" xfId="1" applyNumberFormat="1" applyFont="1" applyFill="1" applyBorder="1" applyAlignment="1">
      <alignment vertical="center"/>
    </xf>
    <xf numFmtId="183" fontId="31" fillId="2" borderId="22" xfId="1" applyNumberFormat="1" applyFont="1" applyFill="1" applyBorder="1" applyAlignment="1">
      <alignment vertical="center"/>
    </xf>
    <xf numFmtId="183" fontId="31" fillId="2" borderId="20" xfId="1" applyNumberFormat="1" applyFont="1" applyFill="1" applyBorder="1" applyAlignment="1">
      <alignment vertical="center"/>
    </xf>
    <xf numFmtId="183" fontId="31" fillId="2" borderId="18" xfId="1" applyNumberFormat="1" applyFont="1" applyFill="1" applyBorder="1" applyAlignment="1">
      <alignment vertical="center"/>
    </xf>
    <xf numFmtId="183" fontId="31" fillId="2" borderId="19" xfId="1" applyNumberFormat="1" applyFont="1" applyFill="1" applyBorder="1" applyAlignment="1">
      <alignment vertical="center"/>
    </xf>
    <xf numFmtId="183" fontId="31" fillId="2" borderId="7" xfId="1" applyNumberFormat="1" applyFont="1" applyFill="1" applyBorder="1" applyAlignment="1">
      <alignment vertical="center"/>
    </xf>
    <xf numFmtId="183" fontId="31" fillId="2" borderId="23" xfId="1" applyNumberFormat="1" applyFont="1" applyFill="1" applyBorder="1" applyAlignment="1">
      <alignment vertical="center"/>
    </xf>
    <xf numFmtId="183" fontId="31" fillId="2" borderId="4" xfId="1" applyNumberFormat="1" applyFont="1" applyFill="1" applyBorder="1" applyAlignment="1">
      <alignment vertical="center"/>
    </xf>
    <xf numFmtId="183" fontId="31" fillId="2" borderId="13" xfId="1" applyNumberFormat="1" applyFont="1" applyFill="1" applyBorder="1" applyAlignment="1">
      <alignment vertical="center"/>
    </xf>
    <xf numFmtId="183" fontId="31" fillId="2" borderId="16" xfId="1" applyNumberFormat="1" applyFont="1" applyFill="1" applyBorder="1" applyAlignment="1">
      <alignment vertical="center"/>
    </xf>
    <xf numFmtId="183" fontId="31" fillId="0" borderId="18" xfId="1" applyNumberFormat="1" applyFont="1" applyFill="1" applyBorder="1" applyAlignment="1">
      <alignment vertical="center"/>
    </xf>
    <xf numFmtId="183" fontId="31" fillId="0" borderId="16" xfId="1" applyNumberFormat="1" applyFont="1" applyFill="1" applyBorder="1" applyAlignment="1">
      <alignment vertical="center"/>
    </xf>
    <xf numFmtId="183" fontId="6" fillId="0" borderId="3" xfId="6" applyNumberFormat="1" applyFont="1" applyFill="1" applyBorder="1">
      <alignment vertical="center"/>
    </xf>
    <xf numFmtId="183" fontId="4" fillId="0" borderId="0" xfId="3" applyNumberFormat="1" applyFont="1">
      <alignment vertical="center"/>
    </xf>
    <xf numFmtId="183" fontId="32" fillId="6" borderId="28" xfId="1" applyNumberFormat="1" applyFont="1" applyFill="1" applyBorder="1" applyAlignment="1">
      <alignment vertical="center"/>
    </xf>
    <xf numFmtId="183" fontId="32" fillId="6" borderId="29" xfId="1" applyNumberFormat="1" applyFont="1" applyFill="1" applyBorder="1" applyAlignment="1">
      <alignment vertical="center"/>
    </xf>
    <xf numFmtId="183" fontId="32" fillId="6" borderId="38" xfId="1" applyNumberFormat="1" applyFont="1" applyFill="1" applyBorder="1" applyAlignment="1">
      <alignment vertical="center"/>
    </xf>
    <xf numFmtId="187" fontId="4" fillId="0" borderId="0" xfId="3" applyNumberFormat="1" applyFont="1">
      <alignment vertical="center"/>
    </xf>
    <xf numFmtId="187" fontId="6" fillId="0" borderId="0" xfId="6" applyNumberFormat="1" applyFont="1" applyFill="1" applyBorder="1">
      <alignment vertical="center"/>
    </xf>
    <xf numFmtId="187" fontId="4" fillId="0" borderId="0" xfId="3" applyNumberFormat="1" applyFont="1" applyAlignment="1">
      <alignment horizontal="right" vertical="center"/>
    </xf>
    <xf numFmtId="187" fontId="23" fillId="0" borderId="8" xfId="3" applyNumberFormat="1" applyFont="1" applyBorder="1" applyAlignment="1">
      <alignment horizontal="center" vertical="center"/>
    </xf>
    <xf numFmtId="187" fontId="23" fillId="0" borderId="1" xfId="3" applyNumberFormat="1" applyFont="1" applyBorder="1" applyAlignment="1">
      <alignment horizontal="center" vertical="center"/>
    </xf>
    <xf numFmtId="187" fontId="23" fillId="0" borderId="10" xfId="3" applyNumberFormat="1" applyFont="1" applyBorder="1" applyAlignment="1">
      <alignment horizontal="center" vertical="center"/>
    </xf>
    <xf numFmtId="187" fontId="23" fillId="0" borderId="11" xfId="3" applyNumberFormat="1" applyFont="1" applyBorder="1" applyAlignment="1">
      <alignment horizontal="center" vertical="center"/>
    </xf>
    <xf numFmtId="189" fontId="6" fillId="0" borderId="3" xfId="6" applyNumberFormat="1" applyFont="1" applyFill="1" applyBorder="1">
      <alignment vertical="center"/>
    </xf>
    <xf numFmtId="189" fontId="6" fillId="3" borderId="0" xfId="6" applyNumberFormat="1" applyFont="1" applyFill="1" applyBorder="1">
      <alignment vertical="center"/>
    </xf>
    <xf numFmtId="189" fontId="4" fillId="0" borderId="0" xfId="3" applyNumberFormat="1" applyFont="1">
      <alignment vertical="center"/>
    </xf>
    <xf numFmtId="189" fontId="6" fillId="0" borderId="4" xfId="7" applyNumberFormat="1" applyFont="1" applyFill="1" applyBorder="1" applyAlignment="1">
      <alignment horizontal="center" vertical="center"/>
    </xf>
    <xf numFmtId="189" fontId="6" fillId="0" borderId="5" xfId="7" applyNumberFormat="1" applyFont="1" applyFill="1" applyBorder="1" applyAlignment="1">
      <alignment horizontal="center" vertical="center"/>
    </xf>
    <xf numFmtId="189" fontId="6" fillId="0" borderId="9" xfId="7" applyNumberFormat="1" applyFont="1" applyFill="1" applyBorder="1" applyAlignment="1">
      <alignment horizontal="center" vertical="center"/>
    </xf>
    <xf numFmtId="189" fontId="23" fillId="0" borderId="10" xfId="3" applyNumberFormat="1" applyFont="1" applyBorder="1" applyAlignment="1">
      <alignment horizontal="center" vertical="center"/>
    </xf>
    <xf numFmtId="189" fontId="23" fillId="0" borderId="11" xfId="7" applyNumberFormat="1" applyFont="1" applyFill="1" applyBorder="1" applyAlignment="1">
      <alignment horizontal="center" vertical="center"/>
    </xf>
    <xf numFmtId="38" fontId="31" fillId="4" borderId="12" xfId="1" applyNumberFormat="1" applyFont="1" applyFill="1" applyBorder="1" applyAlignment="1">
      <alignment vertical="center"/>
    </xf>
    <xf numFmtId="38" fontId="31" fillId="2" borderId="12" xfId="1" applyNumberFormat="1" applyFont="1" applyFill="1" applyBorder="1" applyAlignment="1">
      <alignment vertical="center"/>
    </xf>
    <xf numFmtId="38" fontId="31" fillId="2" borderId="22" xfId="1" applyNumberFormat="1" applyFont="1" applyFill="1" applyBorder="1" applyAlignment="1">
      <alignment vertical="center"/>
    </xf>
    <xf numFmtId="38" fontId="31" fillId="2" borderId="19" xfId="1" applyNumberFormat="1" applyFont="1" applyFill="1" applyBorder="1" applyAlignment="1">
      <alignment vertical="center"/>
    </xf>
    <xf numFmtId="38" fontId="31" fillId="2" borderId="23" xfId="1" applyNumberFormat="1" applyFont="1" applyFill="1" applyBorder="1" applyAlignment="1">
      <alignment vertical="center"/>
    </xf>
    <xf numFmtId="38" fontId="31" fillId="2" borderId="15" xfId="1" applyNumberFormat="1" applyFont="1" applyFill="1" applyBorder="1" applyAlignment="1">
      <alignment vertical="center"/>
    </xf>
    <xf numFmtId="38" fontId="31" fillId="0" borderId="19" xfId="1" applyNumberFormat="1" applyFont="1" applyFill="1" applyBorder="1" applyAlignment="1">
      <alignment vertical="center"/>
    </xf>
    <xf numFmtId="38" fontId="31" fillId="5" borderId="19" xfId="1" applyNumberFormat="1" applyFont="1" applyFill="1" applyBorder="1" applyAlignment="1">
      <alignment vertical="center"/>
    </xf>
    <xf numFmtId="38" fontId="31" fillId="0" borderId="15" xfId="1" applyNumberFormat="1" applyFont="1" applyFill="1" applyBorder="1" applyAlignment="1">
      <alignment vertical="center"/>
    </xf>
    <xf numFmtId="38" fontId="31" fillId="5" borderId="15" xfId="1" applyNumberFormat="1" applyFont="1" applyFill="1" applyBorder="1" applyAlignment="1">
      <alignment vertical="center"/>
    </xf>
    <xf numFmtId="38" fontId="31" fillId="0" borderId="22" xfId="1" applyNumberFormat="1" applyFont="1" applyFill="1" applyBorder="1" applyAlignment="1">
      <alignment vertical="center"/>
    </xf>
    <xf numFmtId="38" fontId="31" fillId="5" borderId="22" xfId="1" applyNumberFormat="1" applyFont="1" applyFill="1" applyBorder="1" applyAlignment="1">
      <alignment vertical="center"/>
    </xf>
    <xf numFmtId="38" fontId="31" fillId="2" borderId="37" xfId="1" applyNumberFormat="1" applyFont="1" applyFill="1" applyBorder="1" applyAlignment="1">
      <alignment vertical="center"/>
    </xf>
    <xf numFmtId="38" fontId="32" fillId="6" borderId="32" xfId="1" applyNumberFormat="1" applyFont="1" applyFill="1" applyBorder="1" applyAlignment="1">
      <alignment vertical="center"/>
    </xf>
    <xf numFmtId="38" fontId="32" fillId="6" borderId="33" xfId="1" applyNumberFormat="1" applyFont="1" applyFill="1" applyBorder="1" applyAlignment="1">
      <alignment vertical="center"/>
    </xf>
    <xf numFmtId="38" fontId="32" fillId="6" borderId="38" xfId="1" applyNumberFormat="1" applyFont="1" applyFill="1" applyBorder="1" applyAlignment="1">
      <alignment vertical="center"/>
    </xf>
    <xf numFmtId="179" fontId="32" fillId="2" borderId="3" xfId="2" applyNumberFormat="1" applyFont="1" applyFill="1" applyBorder="1" applyAlignment="1">
      <alignment horizontal="center" vertical="center"/>
    </xf>
    <xf numFmtId="180" fontId="32" fillId="2" borderId="3" xfId="2" applyNumberFormat="1" applyFont="1" applyFill="1" applyBorder="1" applyAlignment="1">
      <alignment horizontal="center" vertical="center"/>
    </xf>
    <xf numFmtId="0" fontId="32" fillId="2" borderId="4" xfId="2" applyFont="1" applyFill="1" applyBorder="1" applyAlignment="1">
      <alignment horizontal="center" vertical="center"/>
    </xf>
    <xf numFmtId="179" fontId="32" fillId="2" borderId="5" xfId="2" applyNumberFormat="1" applyFont="1" applyFill="1" applyBorder="1" applyAlignment="1">
      <alignment horizontal="center" vertical="center"/>
    </xf>
    <xf numFmtId="38" fontId="31" fillId="5" borderId="12" xfId="1" applyNumberFormat="1" applyFont="1" applyFill="1" applyBorder="1" applyAlignment="1">
      <alignment vertical="center"/>
    </xf>
    <xf numFmtId="38" fontId="32" fillId="6" borderId="55" xfId="1" applyFont="1" applyFill="1" applyBorder="1" applyAlignment="1">
      <alignment vertical="center"/>
    </xf>
    <xf numFmtId="0" fontId="32" fillId="4" borderId="2" xfId="3" applyFont="1" applyFill="1" applyBorder="1">
      <alignment vertical="center"/>
    </xf>
    <xf numFmtId="0" fontId="31" fillId="4" borderId="3" xfId="3" applyFont="1" applyFill="1" applyBorder="1">
      <alignment vertical="center"/>
    </xf>
    <xf numFmtId="38" fontId="31" fillId="4" borderId="12" xfId="6" applyFont="1" applyFill="1" applyBorder="1">
      <alignment vertical="center"/>
    </xf>
    <xf numFmtId="38" fontId="31" fillId="9" borderId="12" xfId="6" applyFont="1" applyFill="1" applyBorder="1">
      <alignment vertical="center"/>
    </xf>
    <xf numFmtId="0" fontId="35" fillId="4" borderId="7" xfId="3" applyFont="1" applyFill="1" applyBorder="1">
      <alignment vertical="center"/>
    </xf>
    <xf numFmtId="0" fontId="31" fillId="2" borderId="13" xfId="3" applyFont="1" applyFill="1" applyBorder="1">
      <alignment vertical="center"/>
    </xf>
    <xf numFmtId="0" fontId="31" fillId="2" borderId="14" xfId="3" applyFont="1" applyFill="1" applyBorder="1">
      <alignment vertical="center"/>
    </xf>
    <xf numFmtId="38" fontId="31" fillId="0" borderId="15" xfId="6" applyFont="1" applyFill="1" applyBorder="1">
      <alignment vertical="center"/>
    </xf>
    <xf numFmtId="38" fontId="31" fillId="8" borderId="15" xfId="6" applyFont="1" applyFill="1" applyBorder="1">
      <alignment vertical="center"/>
    </xf>
    <xf numFmtId="0" fontId="35" fillId="4" borderId="8" xfId="3" applyFont="1" applyFill="1" applyBorder="1">
      <alignment vertical="center"/>
    </xf>
    <xf numFmtId="0" fontId="31" fillId="2" borderId="16" xfId="3" applyFont="1" applyFill="1" applyBorder="1">
      <alignment vertical="center"/>
    </xf>
    <xf numFmtId="0" fontId="31" fillId="2" borderId="17" xfId="3" applyFont="1" applyFill="1" applyBorder="1">
      <alignment vertical="center"/>
    </xf>
    <xf numFmtId="38" fontId="31" fillId="0" borderId="18" xfId="6" applyFont="1" applyFill="1" applyBorder="1">
      <alignment vertical="center"/>
    </xf>
    <xf numFmtId="38" fontId="31" fillId="8" borderId="18" xfId="6" applyFont="1" applyFill="1" applyBorder="1">
      <alignment vertical="center"/>
    </xf>
    <xf numFmtId="0" fontId="32" fillId="4" borderId="7" xfId="3" applyFont="1" applyFill="1" applyBorder="1">
      <alignment vertical="center"/>
    </xf>
    <xf numFmtId="0" fontId="31" fillId="4" borderId="0" xfId="3" applyFont="1" applyFill="1">
      <alignment vertical="center"/>
    </xf>
    <xf numFmtId="38" fontId="31" fillId="4" borderId="19" xfId="6" applyFont="1" applyFill="1" applyBorder="1">
      <alignment vertical="center"/>
    </xf>
    <xf numFmtId="38" fontId="31" fillId="9" borderId="19" xfId="6" applyFont="1" applyFill="1" applyBorder="1">
      <alignment vertical="center"/>
    </xf>
    <xf numFmtId="0" fontId="31" fillId="2" borderId="20" xfId="3" applyFont="1" applyFill="1" applyBorder="1">
      <alignment vertical="center"/>
    </xf>
    <xf numFmtId="0" fontId="31" fillId="2" borderId="21" xfId="3" applyFont="1" applyFill="1" applyBorder="1">
      <alignment vertical="center"/>
    </xf>
    <xf numFmtId="38" fontId="31" fillId="0" borderId="22" xfId="6" applyFont="1" applyFill="1" applyBorder="1">
      <alignment vertical="center"/>
    </xf>
    <xf numFmtId="38" fontId="31" fillId="8" borderId="22" xfId="6" applyFont="1" applyFill="1" applyBorder="1">
      <alignment vertical="center"/>
    </xf>
    <xf numFmtId="0" fontId="35" fillId="4" borderId="19" xfId="3" applyFont="1" applyFill="1" applyBorder="1">
      <alignment vertical="center"/>
    </xf>
    <xf numFmtId="0" fontId="35" fillId="4" borderId="10" xfId="3" applyFont="1" applyFill="1" applyBorder="1">
      <alignment vertical="center"/>
    </xf>
    <xf numFmtId="0" fontId="31" fillId="4" borderId="5" xfId="3" applyFont="1" applyFill="1" applyBorder="1">
      <alignment vertical="center"/>
    </xf>
    <xf numFmtId="38" fontId="31" fillId="4" borderId="23" xfId="6" applyFont="1" applyFill="1" applyBorder="1">
      <alignment vertical="center"/>
    </xf>
    <xf numFmtId="38" fontId="31" fillId="9" borderId="23" xfId="6" applyFont="1" applyFill="1" applyBorder="1">
      <alignment vertical="center"/>
    </xf>
    <xf numFmtId="0" fontId="31" fillId="2" borderId="2" xfId="3" applyFont="1" applyFill="1" applyBorder="1">
      <alignment vertical="center"/>
    </xf>
    <xf numFmtId="0" fontId="31" fillId="2" borderId="15" xfId="3" applyFont="1" applyFill="1" applyBorder="1">
      <alignment vertical="center"/>
    </xf>
    <xf numFmtId="0" fontId="31" fillId="2" borderId="8" xfId="3" applyFont="1" applyFill="1" applyBorder="1">
      <alignment vertical="center"/>
    </xf>
    <xf numFmtId="0" fontId="31" fillId="2" borderId="18" xfId="3" applyFont="1" applyFill="1" applyBorder="1">
      <alignment vertical="center"/>
    </xf>
    <xf numFmtId="38" fontId="31" fillId="0" borderId="24" xfId="6" applyFont="1" applyFill="1" applyBorder="1">
      <alignment vertical="center"/>
    </xf>
    <xf numFmtId="38" fontId="31" fillId="8" borderId="24" xfId="6" applyFont="1" applyFill="1" applyBorder="1">
      <alignment vertical="center"/>
    </xf>
    <xf numFmtId="0" fontId="31" fillId="2" borderId="4" xfId="3" applyFont="1" applyFill="1" applyBorder="1">
      <alignment vertical="center"/>
    </xf>
    <xf numFmtId="0" fontId="31" fillId="2" borderId="5" xfId="3" applyFont="1" applyFill="1" applyBorder="1">
      <alignment vertical="center"/>
    </xf>
    <xf numFmtId="38" fontId="31" fillId="0" borderId="23" xfId="6" applyFont="1" applyFill="1" applyBorder="1">
      <alignment vertical="center"/>
    </xf>
    <xf numFmtId="38" fontId="31" fillId="8" borderId="23" xfId="6" applyFont="1" applyFill="1" applyBorder="1">
      <alignment vertical="center"/>
    </xf>
    <xf numFmtId="38" fontId="32" fillId="2" borderId="3" xfId="6" applyFont="1" applyFill="1" applyBorder="1">
      <alignment vertical="center"/>
    </xf>
    <xf numFmtId="38" fontId="31" fillId="2" borderId="3" xfId="6" applyFont="1" applyFill="1" applyBorder="1">
      <alignment vertical="center"/>
    </xf>
    <xf numFmtId="38" fontId="31" fillId="0" borderId="3" xfId="6" applyFont="1" applyFill="1" applyBorder="1">
      <alignment vertical="center"/>
    </xf>
    <xf numFmtId="0" fontId="32" fillId="6" borderId="30" xfId="3" applyFont="1" applyFill="1" applyBorder="1">
      <alignment vertical="center"/>
    </xf>
    <xf numFmtId="0" fontId="31" fillId="6" borderId="26" xfId="3" applyFont="1" applyFill="1" applyBorder="1">
      <alignment vertical="center"/>
    </xf>
    <xf numFmtId="0" fontId="36" fillId="0" borderId="0" xfId="3" applyFont="1">
      <alignment vertical="center"/>
    </xf>
    <xf numFmtId="0" fontId="37" fillId="4" borderId="7" xfId="3" applyFont="1" applyFill="1" applyBorder="1">
      <alignment vertical="center"/>
    </xf>
    <xf numFmtId="0" fontId="37" fillId="4" borderId="8" xfId="3" applyFont="1" applyFill="1" applyBorder="1">
      <alignment vertical="center"/>
    </xf>
    <xf numFmtId="0" fontId="37" fillId="3" borderId="0" xfId="3" applyFont="1" applyFill="1">
      <alignment vertical="center"/>
    </xf>
    <xf numFmtId="0" fontId="31" fillId="3" borderId="0" xfId="3" applyFont="1" applyFill="1">
      <alignment vertical="center"/>
    </xf>
    <xf numFmtId="38" fontId="31" fillId="0" borderId="0" xfId="6" applyFont="1" applyFill="1" applyBorder="1">
      <alignment vertical="center"/>
    </xf>
    <xf numFmtId="0" fontId="31" fillId="2" borderId="3" xfId="3" applyFont="1" applyFill="1" applyBorder="1">
      <alignment vertical="center"/>
    </xf>
    <xf numFmtId="0" fontId="31" fillId="2" borderId="7" xfId="3" applyFont="1" applyFill="1" applyBorder="1">
      <alignment vertical="center"/>
    </xf>
    <xf numFmtId="0" fontId="31" fillId="2" borderId="0" xfId="3" applyFont="1" applyFill="1">
      <alignment vertical="center"/>
    </xf>
    <xf numFmtId="38" fontId="32" fillId="0" borderId="8" xfId="3" applyNumberFormat="1" applyFont="1" applyBorder="1" applyAlignment="1">
      <alignment horizontal="center" vertical="center"/>
    </xf>
    <xf numFmtId="38" fontId="32" fillId="0" borderId="1" xfId="3" applyNumberFormat="1" applyFont="1" applyBorder="1" applyAlignment="1">
      <alignment horizontal="center" vertical="center"/>
    </xf>
    <xf numFmtId="0" fontId="31" fillId="2" borderId="1" xfId="3" applyFont="1" applyFill="1" applyBorder="1">
      <alignment vertical="center"/>
    </xf>
    <xf numFmtId="183" fontId="31" fillId="4" borderId="12" xfId="6" applyNumberFormat="1" applyFont="1" applyFill="1" applyBorder="1">
      <alignment vertical="center"/>
    </xf>
    <xf numFmtId="38" fontId="36" fillId="0" borderId="0" xfId="3" applyNumberFormat="1" applyFont="1">
      <alignment vertical="center"/>
    </xf>
    <xf numFmtId="183" fontId="31" fillId="0" borderId="15" xfId="6" applyNumberFormat="1" applyFont="1" applyFill="1" applyBorder="1">
      <alignment vertical="center"/>
    </xf>
    <xf numFmtId="183" fontId="31" fillId="0" borderId="18" xfId="6" applyNumberFormat="1" applyFont="1" applyFill="1" applyBorder="1">
      <alignment vertical="center"/>
    </xf>
    <xf numFmtId="183" fontId="31" fillId="4" borderId="19" xfId="6" applyNumberFormat="1" applyFont="1" applyFill="1" applyBorder="1">
      <alignment vertical="center"/>
    </xf>
    <xf numFmtId="183" fontId="31" fillId="0" borderId="22" xfId="6" applyNumberFormat="1" applyFont="1" applyFill="1" applyBorder="1">
      <alignment vertical="center"/>
    </xf>
    <xf numFmtId="183" fontId="31" fillId="4" borderId="23" xfId="6" applyNumberFormat="1" applyFont="1" applyFill="1" applyBorder="1">
      <alignment vertical="center"/>
    </xf>
    <xf numFmtId="183" fontId="31" fillId="0" borderId="24" xfId="6" applyNumberFormat="1" applyFont="1" applyFill="1" applyBorder="1">
      <alignment vertical="center"/>
    </xf>
    <xf numFmtId="183" fontId="31" fillId="0" borderId="23" xfId="6" applyNumberFormat="1" applyFont="1" applyFill="1" applyBorder="1">
      <alignment vertical="center"/>
    </xf>
    <xf numFmtId="179" fontId="23" fillId="2" borderId="12" xfId="2" applyNumberFormat="1" applyFont="1" applyFill="1" applyBorder="1" applyAlignment="1">
      <alignment horizontal="center" vertical="center"/>
    </xf>
    <xf numFmtId="0" fontId="23" fillId="2" borderId="19" xfId="2" applyNumberFormat="1" applyFont="1" applyFill="1" applyBorder="1" applyAlignment="1">
      <alignment horizontal="center" vertical="center"/>
    </xf>
    <xf numFmtId="179" fontId="23" fillId="2" borderId="19" xfId="2" applyNumberFormat="1" applyFont="1" applyFill="1" applyBorder="1" applyAlignment="1">
      <alignment horizontal="center" vertical="center"/>
    </xf>
    <xf numFmtId="0" fontId="38" fillId="0" borderId="0" xfId="3" applyFont="1">
      <alignment vertical="center"/>
    </xf>
    <xf numFmtId="0" fontId="36" fillId="3" borderId="0" xfId="0" applyFont="1" applyFill="1">
      <alignment vertical="center"/>
    </xf>
    <xf numFmtId="0" fontId="32" fillId="2" borderId="0" xfId="2" applyFont="1" applyFill="1">
      <alignment vertical="center"/>
    </xf>
    <xf numFmtId="184" fontId="31" fillId="4" borderId="12" xfId="7" applyNumberFormat="1" applyFont="1" applyFill="1" applyBorder="1">
      <alignment vertical="center"/>
    </xf>
    <xf numFmtId="184" fontId="31" fillId="0" borderId="15" xfId="7" applyNumberFormat="1" applyFont="1" applyFill="1" applyBorder="1">
      <alignment vertical="center"/>
    </xf>
    <xf numFmtId="184" fontId="31" fillId="0" borderId="18" xfId="7" applyNumberFormat="1" applyFont="1" applyFill="1" applyBorder="1">
      <alignment vertical="center"/>
    </xf>
    <xf numFmtId="184" fontId="31" fillId="4" borderId="19" xfId="7" applyNumberFormat="1" applyFont="1" applyFill="1" applyBorder="1">
      <alignment vertical="center"/>
    </xf>
    <xf numFmtId="184" fontId="31" fillId="0" borderId="22" xfId="7" applyNumberFormat="1" applyFont="1" applyFill="1" applyBorder="1">
      <alignment vertical="center"/>
    </xf>
    <xf numFmtId="184" fontId="31" fillId="4" borderId="23" xfId="7" applyNumberFormat="1" applyFont="1" applyFill="1" applyBorder="1">
      <alignment vertical="center"/>
    </xf>
    <xf numFmtId="184" fontId="31" fillId="0" borderId="22" xfId="7" applyNumberFormat="1" applyFont="1" applyFill="1" applyBorder="1" applyAlignment="1">
      <alignment horizontal="right" vertical="center"/>
    </xf>
    <xf numFmtId="184" fontId="31" fillId="0" borderId="24" xfId="7" applyNumberFormat="1" applyFont="1" applyFill="1" applyBorder="1">
      <alignment vertical="center"/>
    </xf>
    <xf numFmtId="184" fontId="31" fillId="0" borderId="23" xfId="7" applyNumberFormat="1" applyFont="1" applyFill="1" applyBorder="1">
      <alignment vertical="center"/>
    </xf>
    <xf numFmtId="38" fontId="31" fillId="4" borderId="12" xfId="1" applyFont="1" applyFill="1" applyBorder="1">
      <alignment vertical="center"/>
    </xf>
    <xf numFmtId="38" fontId="31" fillId="9" borderId="12" xfId="1" applyFont="1" applyFill="1" applyBorder="1">
      <alignment vertical="center"/>
    </xf>
    <xf numFmtId="38" fontId="31" fillId="0" borderId="15" xfId="1" applyFont="1" applyFill="1" applyBorder="1">
      <alignment vertical="center"/>
    </xf>
    <xf numFmtId="38" fontId="31" fillId="0" borderId="18" xfId="1" applyFont="1" applyFill="1" applyBorder="1">
      <alignment vertical="center"/>
    </xf>
    <xf numFmtId="0" fontId="31" fillId="2" borderId="43" xfId="3" applyFont="1" applyFill="1" applyBorder="1">
      <alignment vertical="center"/>
    </xf>
    <xf numFmtId="38" fontId="31" fillId="0" borderId="44" xfId="1" applyFont="1" applyFill="1" applyBorder="1">
      <alignment vertical="center"/>
    </xf>
    <xf numFmtId="38" fontId="31" fillId="0" borderId="22" xfId="1" applyFont="1" applyFill="1" applyBorder="1">
      <alignment vertical="center"/>
    </xf>
    <xf numFmtId="38" fontId="31" fillId="4" borderId="23" xfId="1" applyFont="1" applyFill="1" applyBorder="1">
      <alignment vertical="center"/>
    </xf>
    <xf numFmtId="0" fontId="32" fillId="4" borderId="19" xfId="3" applyFont="1" applyFill="1" applyBorder="1">
      <alignment vertical="center"/>
    </xf>
    <xf numFmtId="0" fontId="31" fillId="2" borderId="40" xfId="3" applyFont="1" applyFill="1" applyBorder="1">
      <alignment vertical="center"/>
    </xf>
    <xf numFmtId="0" fontId="31" fillId="2" borderId="45" xfId="3" applyFont="1" applyFill="1" applyBorder="1">
      <alignment vertical="center"/>
    </xf>
    <xf numFmtId="0" fontId="31" fillId="2" borderId="9" xfId="3" applyFont="1" applyFill="1" applyBorder="1">
      <alignment vertical="center"/>
    </xf>
    <xf numFmtId="38" fontId="31" fillId="0" borderId="19" xfId="1" applyFont="1" applyFill="1" applyBorder="1">
      <alignment vertical="center"/>
    </xf>
    <xf numFmtId="0" fontId="31" fillId="2" borderId="42" xfId="3" applyFont="1" applyFill="1" applyBorder="1">
      <alignment vertical="center"/>
    </xf>
    <xf numFmtId="38" fontId="31" fillId="0" borderId="24" xfId="1" applyFont="1" applyFill="1" applyBorder="1">
      <alignment vertical="center"/>
    </xf>
    <xf numFmtId="38" fontId="31" fillId="0" borderId="3" xfId="1" applyFont="1" applyFill="1" applyBorder="1">
      <alignment vertical="center"/>
    </xf>
    <xf numFmtId="0" fontId="32" fillId="6" borderId="25" xfId="3" applyFont="1" applyFill="1" applyBorder="1">
      <alignment vertical="center"/>
    </xf>
    <xf numFmtId="0" fontId="32" fillId="6" borderId="27" xfId="3" applyFont="1" applyFill="1" applyBorder="1">
      <alignment vertical="center"/>
    </xf>
    <xf numFmtId="0" fontId="31" fillId="2" borderId="46" xfId="3" applyFont="1" applyFill="1" applyBorder="1">
      <alignment vertical="center"/>
    </xf>
    <xf numFmtId="38" fontId="31" fillId="0" borderId="12" xfId="1" applyFont="1" applyFill="1" applyBorder="1">
      <alignment vertical="center"/>
    </xf>
    <xf numFmtId="38" fontId="31" fillId="8" borderId="15" xfId="1" applyFont="1" applyFill="1" applyBorder="1">
      <alignment vertical="center"/>
    </xf>
    <xf numFmtId="38" fontId="31" fillId="0" borderId="47" xfId="1" applyFont="1" applyFill="1" applyBorder="1">
      <alignment vertical="center"/>
    </xf>
    <xf numFmtId="0" fontId="31" fillId="2" borderId="27" xfId="3" applyFont="1" applyFill="1" applyBorder="1">
      <alignment vertical="center"/>
    </xf>
    <xf numFmtId="38" fontId="31" fillId="8" borderId="19" xfId="1" applyFont="1" applyFill="1" applyBorder="1">
      <alignment vertical="center"/>
    </xf>
    <xf numFmtId="38" fontId="31" fillId="0" borderId="48" xfId="1" applyFont="1" applyFill="1" applyBorder="1">
      <alignment vertical="center"/>
    </xf>
    <xf numFmtId="0" fontId="32" fillId="6" borderId="49" xfId="3" applyFont="1" applyFill="1" applyBorder="1">
      <alignment vertical="center"/>
    </xf>
    <xf numFmtId="0" fontId="31" fillId="2" borderId="50" xfId="3" applyFont="1" applyFill="1" applyBorder="1">
      <alignment vertical="center"/>
    </xf>
    <xf numFmtId="0" fontId="31" fillId="2" borderId="51" xfId="3" applyFont="1" applyFill="1" applyBorder="1">
      <alignment vertical="center"/>
    </xf>
    <xf numFmtId="38" fontId="31" fillId="0" borderId="52" xfId="1" applyFont="1" applyFill="1" applyBorder="1">
      <alignment vertical="center"/>
    </xf>
    <xf numFmtId="38" fontId="31" fillId="8" borderId="52" xfId="1" applyFont="1" applyFill="1" applyBorder="1">
      <alignment vertical="center"/>
    </xf>
    <xf numFmtId="38" fontId="31" fillId="0" borderId="53" xfId="1" applyFont="1" applyFill="1" applyBorder="1">
      <alignment vertical="center"/>
    </xf>
    <xf numFmtId="38" fontId="31" fillId="0" borderId="15" xfId="6" applyNumberFormat="1" applyFont="1" applyFill="1" applyBorder="1">
      <alignment vertical="center"/>
    </xf>
    <xf numFmtId="38" fontId="31" fillId="0" borderId="22" xfId="12" applyFont="1" applyFill="1" applyBorder="1">
      <alignment vertical="center"/>
    </xf>
    <xf numFmtId="38" fontId="31" fillId="0" borderId="19" xfId="6" applyNumberFormat="1" applyFont="1" applyFill="1" applyBorder="1">
      <alignment vertical="center"/>
    </xf>
    <xf numFmtId="38" fontId="31" fillId="0" borderId="3" xfId="12" applyFont="1" applyFill="1" applyBorder="1">
      <alignment vertical="center"/>
    </xf>
    <xf numFmtId="38" fontId="31" fillId="0" borderId="3" xfId="12" applyNumberFormat="1" applyFont="1" applyFill="1" applyBorder="1">
      <alignment vertical="center"/>
    </xf>
    <xf numFmtId="38" fontId="31" fillId="0" borderId="3" xfId="6" applyNumberFormat="1" applyFont="1" applyFill="1" applyBorder="1">
      <alignment vertical="center"/>
    </xf>
    <xf numFmtId="188" fontId="31" fillId="0" borderId="3" xfId="6" applyNumberFormat="1" applyFont="1" applyFill="1" applyBorder="1">
      <alignment vertical="center"/>
    </xf>
    <xf numFmtId="38" fontId="31" fillId="0" borderId="12" xfId="12" applyFont="1" applyFill="1" applyBorder="1">
      <alignment vertical="center"/>
    </xf>
    <xf numFmtId="38" fontId="31" fillId="8" borderId="15" xfId="12" applyFont="1" applyFill="1" applyBorder="1">
      <alignment vertical="center"/>
    </xf>
    <xf numFmtId="38" fontId="31" fillId="8" borderId="15" xfId="12" applyNumberFormat="1" applyFont="1" applyFill="1" applyBorder="1">
      <alignment vertical="center"/>
    </xf>
    <xf numFmtId="38" fontId="31" fillId="0" borderId="47" xfId="12" applyNumberFormat="1" applyFont="1" applyFill="1" applyBorder="1">
      <alignment vertical="center"/>
    </xf>
    <xf numFmtId="38" fontId="31" fillId="8" borderId="19" xfId="12" applyFont="1" applyFill="1" applyBorder="1">
      <alignment vertical="center"/>
    </xf>
    <xf numFmtId="38" fontId="31" fillId="8" borderId="19" xfId="12" applyNumberFormat="1" applyFont="1" applyFill="1" applyBorder="1">
      <alignment vertical="center"/>
    </xf>
    <xf numFmtId="38" fontId="31" fillId="0" borderId="48" xfId="12" applyNumberFormat="1" applyFont="1" applyFill="1" applyBorder="1">
      <alignment vertical="center"/>
    </xf>
    <xf numFmtId="38" fontId="31" fillId="0" borderId="52" xfId="12" applyFont="1" applyFill="1" applyBorder="1">
      <alignment vertical="center"/>
    </xf>
    <xf numFmtId="38" fontId="31" fillId="8" borderId="52" xfId="12" applyFont="1" applyFill="1" applyBorder="1">
      <alignment vertical="center"/>
    </xf>
    <xf numFmtId="38" fontId="31" fillId="8" borderId="52" xfId="12" applyNumberFormat="1" applyFont="1" applyFill="1" applyBorder="1">
      <alignment vertical="center"/>
    </xf>
    <xf numFmtId="38" fontId="31" fillId="0" borderId="52" xfId="6" applyNumberFormat="1" applyFont="1" applyFill="1" applyBorder="1">
      <alignment vertical="center"/>
    </xf>
    <xf numFmtId="38" fontId="31" fillId="0" borderId="53" xfId="12" applyNumberFormat="1" applyFont="1" applyFill="1" applyBorder="1">
      <alignment vertical="center"/>
    </xf>
    <xf numFmtId="178" fontId="31" fillId="4" borderId="12" xfId="8" applyNumberFormat="1" applyFont="1" applyFill="1" applyBorder="1" applyAlignment="1">
      <alignment vertical="center"/>
    </xf>
    <xf numFmtId="178" fontId="31" fillId="9" borderId="12" xfId="8" applyNumberFormat="1" applyFont="1" applyFill="1" applyBorder="1" applyAlignment="1">
      <alignment vertical="center"/>
    </xf>
    <xf numFmtId="178" fontId="31" fillId="4" borderId="12" xfId="6" applyNumberFormat="1" applyFont="1" applyFill="1" applyBorder="1">
      <alignment vertical="center"/>
    </xf>
    <xf numFmtId="178" fontId="31" fillId="9" borderId="12" xfId="6" applyNumberFormat="1" applyFont="1" applyFill="1" applyBorder="1">
      <alignment vertical="center"/>
    </xf>
    <xf numFmtId="178" fontId="31" fillId="0" borderId="15" xfId="8" applyNumberFormat="1" applyFont="1" applyFill="1" applyBorder="1" applyAlignment="1">
      <alignment vertical="center"/>
    </xf>
    <xf numFmtId="178" fontId="31" fillId="0" borderId="15" xfId="6" applyNumberFormat="1" applyFont="1" applyFill="1" applyBorder="1">
      <alignment vertical="center"/>
    </xf>
    <xf numFmtId="178" fontId="31" fillId="0" borderId="18" xfId="8" applyNumberFormat="1" applyFont="1" applyFill="1" applyBorder="1" applyAlignment="1">
      <alignment vertical="center"/>
    </xf>
    <xf numFmtId="178" fontId="31" fillId="0" borderId="18" xfId="6" applyNumberFormat="1" applyFont="1" applyFill="1" applyBorder="1">
      <alignment vertical="center"/>
    </xf>
    <xf numFmtId="190" fontId="31" fillId="0" borderId="18" xfId="8" applyNumberFormat="1" applyFont="1" applyFill="1" applyBorder="1" applyAlignment="1">
      <alignment vertical="center"/>
    </xf>
    <xf numFmtId="178" fontId="31" fillId="4" borderId="19" xfId="8" applyNumberFormat="1" applyFont="1" applyFill="1" applyBorder="1" applyAlignment="1">
      <alignment vertical="center"/>
    </xf>
    <xf numFmtId="186" fontId="31" fillId="0" borderId="22" xfId="8" applyNumberFormat="1" applyFont="1" applyFill="1" applyBorder="1" applyAlignment="1">
      <alignment horizontal="right" vertical="center"/>
    </xf>
    <xf numFmtId="178" fontId="31" fillId="0" borderId="22" xfId="8" applyNumberFormat="1" applyFont="1" applyFill="1" applyBorder="1" applyAlignment="1">
      <alignment horizontal="right" vertical="center"/>
    </xf>
    <xf numFmtId="178" fontId="31" fillId="4" borderId="23" xfId="8" applyNumberFormat="1" applyFont="1" applyFill="1" applyBorder="1" applyAlignment="1">
      <alignment vertical="center"/>
    </xf>
    <xf numFmtId="178" fontId="31" fillId="9" borderId="23" xfId="8" applyNumberFormat="1" applyFont="1" applyFill="1" applyBorder="1" applyAlignment="1">
      <alignment vertical="center"/>
    </xf>
    <xf numFmtId="178" fontId="31" fillId="4" borderId="23" xfId="8" applyNumberFormat="1" applyFont="1" applyFill="1" applyBorder="1" applyAlignment="1">
      <alignment horizontal="right" vertical="center"/>
    </xf>
    <xf numFmtId="178" fontId="31" fillId="9" borderId="23" xfId="8" applyNumberFormat="1" applyFont="1" applyFill="1" applyBorder="1" applyAlignment="1">
      <alignment horizontal="right" vertical="center"/>
    </xf>
    <xf numFmtId="178" fontId="31" fillId="0" borderId="44" xfId="8" applyNumberFormat="1" applyFont="1" applyFill="1" applyBorder="1" applyAlignment="1">
      <alignment horizontal="right" vertical="center"/>
    </xf>
    <xf numFmtId="178" fontId="31" fillId="0" borderId="18" xfId="8" applyNumberFormat="1" applyFont="1" applyFill="1" applyBorder="1" applyAlignment="1">
      <alignment horizontal="right" vertical="center"/>
    </xf>
    <xf numFmtId="178" fontId="31" fillId="0" borderId="18" xfId="6" applyNumberFormat="1" applyFont="1" applyFill="1" applyBorder="1" applyAlignment="1">
      <alignment horizontal="right" vertical="center"/>
    </xf>
    <xf numFmtId="178" fontId="31" fillId="0" borderId="44" xfId="6" applyNumberFormat="1" applyFont="1" applyFill="1" applyBorder="1">
      <alignment vertical="center"/>
    </xf>
    <xf numFmtId="178" fontId="31" fillId="0" borderId="44" xfId="8" applyNumberFormat="1" applyFont="1" applyFill="1" applyBorder="1" applyAlignment="1">
      <alignment vertical="center"/>
    </xf>
    <xf numFmtId="178" fontId="31" fillId="0" borderId="22" xfId="6" applyNumberFormat="1" applyFont="1" applyFill="1" applyBorder="1">
      <alignment vertical="center"/>
    </xf>
    <xf numFmtId="178" fontId="31" fillId="0" borderId="22" xfId="8" applyNumberFormat="1" applyFont="1" applyFill="1" applyBorder="1" applyAlignment="1">
      <alignment vertical="center"/>
    </xf>
    <xf numFmtId="178" fontId="31" fillId="0" borderId="22" xfId="6" applyNumberFormat="1" applyFont="1" applyFill="1" applyBorder="1" applyAlignment="1">
      <alignment horizontal="right" vertical="center"/>
    </xf>
    <xf numFmtId="178" fontId="31" fillId="0" borderId="19" xfId="8" applyNumberFormat="1" applyFont="1" applyFill="1" applyBorder="1" applyAlignment="1">
      <alignment vertical="center"/>
    </xf>
    <xf numFmtId="178" fontId="31" fillId="0" borderId="19" xfId="6" applyNumberFormat="1" applyFont="1" applyFill="1" applyBorder="1">
      <alignment vertical="center"/>
    </xf>
    <xf numFmtId="178" fontId="31" fillId="0" borderId="24" xfId="8" applyNumberFormat="1" applyFont="1" applyFill="1" applyBorder="1" applyAlignment="1">
      <alignment vertical="center"/>
    </xf>
    <xf numFmtId="178" fontId="31" fillId="0" borderId="24" xfId="6" applyNumberFormat="1" applyFont="1" applyFill="1" applyBorder="1">
      <alignment vertical="center"/>
    </xf>
    <xf numFmtId="178" fontId="31" fillId="0" borderId="3" xfId="8" applyNumberFormat="1" applyFont="1" applyFill="1" applyBorder="1" applyAlignment="1">
      <alignment vertical="center"/>
    </xf>
    <xf numFmtId="178" fontId="31" fillId="0" borderId="3" xfId="6" applyNumberFormat="1" applyFont="1" applyFill="1" applyBorder="1">
      <alignment vertical="center"/>
    </xf>
    <xf numFmtId="178" fontId="31" fillId="8" borderId="15" xfId="8" applyNumberFormat="1" applyFont="1" applyFill="1" applyBorder="1" applyAlignment="1">
      <alignment vertical="center"/>
    </xf>
    <xf numFmtId="178" fontId="31" fillId="0" borderId="47" xfId="8" applyNumberFormat="1" applyFont="1" applyFill="1" applyBorder="1" applyAlignment="1">
      <alignment vertical="center"/>
    </xf>
    <xf numFmtId="178" fontId="31" fillId="8" borderId="19" xfId="8" applyNumberFormat="1" applyFont="1" applyFill="1" applyBorder="1" applyAlignment="1">
      <alignment vertical="center"/>
    </xf>
    <xf numFmtId="178" fontId="31" fillId="0" borderId="54" xfId="8" applyNumberFormat="1" applyFont="1" applyFill="1" applyBorder="1" applyAlignment="1">
      <alignment horizontal="right" vertical="center"/>
    </xf>
    <xf numFmtId="178" fontId="31" fillId="0" borderId="52" xfId="8" applyNumberFormat="1" applyFont="1" applyFill="1" applyBorder="1" applyAlignment="1">
      <alignment vertical="center"/>
    </xf>
    <xf numFmtId="178" fontId="31" fillId="8" borderId="52" xfId="8" applyNumberFormat="1" applyFont="1" applyFill="1" applyBorder="1" applyAlignment="1">
      <alignment vertical="center"/>
    </xf>
    <xf numFmtId="178" fontId="31" fillId="0" borderId="52" xfId="6" applyNumberFormat="1" applyFont="1" applyFill="1" applyBorder="1">
      <alignment vertical="center"/>
    </xf>
    <xf numFmtId="178" fontId="31" fillId="0" borderId="53" xfId="8" applyNumberFormat="1" applyFont="1" applyFill="1" applyBorder="1" applyAlignment="1">
      <alignment vertical="center"/>
    </xf>
    <xf numFmtId="182" fontId="28" fillId="4" borderId="10" xfId="0" applyNumberFormat="1" applyFont="1" applyFill="1" applyBorder="1" applyAlignment="1">
      <alignment vertical="center" wrapText="1"/>
    </xf>
    <xf numFmtId="182" fontId="28" fillId="4" borderId="10" xfId="0" applyNumberFormat="1" applyFont="1" applyFill="1" applyBorder="1" applyAlignment="1">
      <alignment horizontal="right" vertical="center" wrapText="1"/>
    </xf>
    <xf numFmtId="183" fontId="28" fillId="4" borderId="23" xfId="0" applyNumberFormat="1" applyFont="1" applyFill="1" applyBorder="1">
      <alignment vertical="center"/>
    </xf>
    <xf numFmtId="0" fontId="28" fillId="3" borderId="0" xfId="0" applyFont="1" applyFill="1">
      <alignment vertical="center"/>
    </xf>
    <xf numFmtId="0" fontId="28" fillId="3" borderId="23" xfId="0" applyFont="1" applyFill="1" applyBorder="1" applyAlignment="1">
      <alignment vertical="center" wrapText="1"/>
    </xf>
    <xf numFmtId="182" fontId="28" fillId="3" borderId="23" xfId="0" applyNumberFormat="1" applyFont="1" applyFill="1" applyBorder="1" applyAlignment="1">
      <alignment vertical="center" wrapText="1"/>
    </xf>
    <xf numFmtId="183" fontId="28" fillId="3" borderId="23" xfId="0" applyNumberFormat="1" applyFont="1" applyFill="1" applyBorder="1">
      <alignment vertical="center"/>
    </xf>
    <xf numFmtId="182" fontId="28" fillId="4" borderId="23" xfId="0" applyNumberFormat="1" applyFont="1" applyFill="1" applyBorder="1" applyAlignment="1">
      <alignment vertical="center" wrapText="1"/>
    </xf>
    <xf numFmtId="0" fontId="28" fillId="3" borderId="3" xfId="0" applyFont="1" applyFill="1" applyBorder="1" applyAlignment="1">
      <alignment vertical="center" wrapText="1"/>
    </xf>
    <xf numFmtId="182" fontId="28" fillId="3" borderId="3" xfId="0" applyNumberFormat="1" applyFont="1" applyFill="1" applyBorder="1" applyAlignment="1">
      <alignment vertical="center" wrapText="1"/>
    </xf>
    <xf numFmtId="183" fontId="39" fillId="3" borderId="0" xfId="0" applyNumberFormat="1" applyFont="1" applyFill="1">
      <alignment vertical="center"/>
    </xf>
    <xf numFmtId="0" fontId="39" fillId="6" borderId="30" xfId="0" applyFont="1" applyFill="1" applyBorder="1" applyAlignment="1">
      <alignment vertical="center"/>
    </xf>
    <xf numFmtId="0" fontId="39" fillId="6" borderId="39" xfId="0" applyFont="1" applyFill="1" applyBorder="1" applyAlignment="1">
      <alignment vertical="center" wrapText="1"/>
    </xf>
    <xf numFmtId="182" fontId="39" fillId="6" borderId="28" xfId="0" applyNumberFormat="1" applyFont="1" applyFill="1" applyBorder="1" applyAlignment="1">
      <alignment vertical="center" wrapText="1"/>
    </xf>
    <xf numFmtId="182" fontId="39" fillId="6" borderId="29" xfId="0" applyNumberFormat="1" applyFont="1" applyFill="1" applyBorder="1" applyAlignment="1">
      <alignment vertical="center" wrapText="1"/>
    </xf>
    <xf numFmtId="183" fontId="39" fillId="6" borderId="38" xfId="0" applyNumberFormat="1" applyFont="1" applyFill="1" applyBorder="1" applyAlignment="1">
      <alignment vertical="center" wrapText="1"/>
    </xf>
    <xf numFmtId="183" fontId="28" fillId="4" borderId="10" xfId="0" applyNumberFormat="1" applyFont="1" applyFill="1" applyBorder="1" applyAlignment="1">
      <alignment vertical="center" wrapText="1"/>
    </xf>
    <xf numFmtId="183" fontId="28" fillId="4" borderId="10" xfId="0" applyNumberFormat="1" applyFont="1" applyFill="1" applyBorder="1" applyAlignment="1">
      <alignment horizontal="right" vertical="center" wrapText="1"/>
    </xf>
    <xf numFmtId="183" fontId="28" fillId="4" borderId="23" xfId="0" applyNumberFormat="1" applyFont="1" applyFill="1" applyBorder="1" applyAlignment="1">
      <alignment vertical="center" wrapText="1"/>
    </xf>
    <xf numFmtId="183" fontId="28" fillId="3" borderId="23" xfId="0" applyNumberFormat="1" applyFont="1" applyFill="1" applyBorder="1" applyAlignment="1">
      <alignment vertical="center" wrapText="1"/>
    </xf>
    <xf numFmtId="183" fontId="28" fillId="3" borderId="0" xfId="0" applyNumberFormat="1" applyFont="1" applyFill="1">
      <alignment vertical="center"/>
    </xf>
    <xf numFmtId="183" fontId="28" fillId="3" borderId="3" xfId="0" applyNumberFormat="1" applyFont="1" applyFill="1" applyBorder="1" applyAlignment="1">
      <alignment vertical="center" wrapText="1"/>
    </xf>
    <xf numFmtId="183" fontId="39" fillId="6" borderId="28" xfId="0" applyNumberFormat="1" applyFont="1" applyFill="1" applyBorder="1" applyAlignment="1">
      <alignment vertical="center" wrapText="1"/>
    </xf>
    <xf numFmtId="185" fontId="28" fillId="4" borderId="10" xfId="8" applyNumberFormat="1" applyFont="1" applyFill="1" applyBorder="1" applyAlignment="1">
      <alignment vertical="center" wrapText="1"/>
    </xf>
    <xf numFmtId="185" fontId="28" fillId="4" borderId="10" xfId="8" applyNumberFormat="1" applyFont="1" applyFill="1" applyBorder="1" applyAlignment="1">
      <alignment horizontal="right" vertical="center" wrapText="1"/>
    </xf>
    <xf numFmtId="185" fontId="28" fillId="4" borderId="23" xfId="8" applyNumberFormat="1" applyFont="1" applyFill="1" applyBorder="1" applyAlignment="1">
      <alignment vertical="center" wrapText="1"/>
    </xf>
    <xf numFmtId="185" fontId="28" fillId="4" borderId="23" xfId="8" applyNumberFormat="1" applyFont="1" applyFill="1" applyBorder="1" applyAlignment="1">
      <alignment vertical="center"/>
    </xf>
    <xf numFmtId="185" fontId="28" fillId="3" borderId="23" xfId="8" applyNumberFormat="1" applyFont="1" applyFill="1" applyBorder="1" applyAlignment="1">
      <alignment vertical="center" wrapText="1"/>
    </xf>
    <xf numFmtId="185" fontId="28" fillId="3" borderId="23" xfId="8" applyNumberFormat="1" applyFont="1" applyFill="1" applyBorder="1" applyAlignment="1">
      <alignment vertical="center"/>
    </xf>
    <xf numFmtId="185" fontId="28" fillId="3" borderId="0" xfId="0" applyNumberFormat="1" applyFont="1" applyFill="1">
      <alignment vertical="center"/>
    </xf>
    <xf numFmtId="185" fontId="28" fillId="3" borderId="3" xfId="0" applyNumberFormat="1" applyFont="1" applyFill="1" applyBorder="1" applyAlignment="1">
      <alignment vertical="center" wrapText="1"/>
    </xf>
    <xf numFmtId="185" fontId="39" fillId="3" borderId="0" xfId="0" applyNumberFormat="1" applyFont="1" applyFill="1">
      <alignment vertical="center"/>
    </xf>
    <xf numFmtId="185" fontId="39" fillId="6" borderId="28" xfId="8" applyNumberFormat="1" applyFont="1" applyFill="1" applyBorder="1" applyAlignment="1">
      <alignment vertical="center" wrapText="1"/>
    </xf>
    <xf numFmtId="185" fontId="39" fillId="6" borderId="38" xfId="8" applyNumberFormat="1" applyFont="1" applyFill="1" applyBorder="1" applyAlignment="1">
      <alignment vertical="center"/>
    </xf>
    <xf numFmtId="0" fontId="28" fillId="0" borderId="0" xfId="3" applyFont="1">
      <alignment vertical="center"/>
    </xf>
    <xf numFmtId="0" fontId="39" fillId="4" borderId="7" xfId="0" applyFont="1" applyFill="1" applyBorder="1" applyAlignment="1">
      <alignment horizontal="left" vertical="center"/>
    </xf>
    <xf numFmtId="0" fontId="39" fillId="4" borderId="11" xfId="0" applyFont="1" applyFill="1" applyBorder="1" applyAlignment="1">
      <alignment vertical="center" wrapText="1"/>
    </xf>
    <xf numFmtId="0" fontId="39" fillId="4" borderId="10" xfId="0" applyFont="1" applyFill="1" applyBorder="1" applyAlignment="1">
      <alignment vertical="center" wrapText="1"/>
    </xf>
    <xf numFmtId="0" fontId="39" fillId="4" borderId="4" xfId="0" applyFont="1" applyFill="1" applyBorder="1" applyAlignment="1">
      <alignment horizontal="left" vertical="center"/>
    </xf>
    <xf numFmtId="0" fontId="39" fillId="4" borderId="36" xfId="0" applyFont="1" applyFill="1" applyBorder="1" applyAlignment="1">
      <alignment vertical="center" wrapText="1"/>
    </xf>
    <xf numFmtId="0" fontId="39" fillId="3" borderId="3" xfId="0" applyFont="1" applyFill="1" applyBorder="1" applyAlignment="1">
      <alignment vertical="center" wrapText="1"/>
    </xf>
    <xf numFmtId="0" fontId="29" fillId="3" borderId="2" xfId="0" applyFont="1" applyFill="1" applyBorder="1">
      <alignment vertical="center"/>
    </xf>
    <xf numFmtId="0" fontId="29" fillId="3" borderId="6" xfId="0" applyFont="1" applyFill="1" applyBorder="1">
      <alignment vertical="center"/>
    </xf>
    <xf numFmtId="0" fontId="29" fillId="3" borderId="7" xfId="0" applyFont="1" applyFill="1" applyBorder="1">
      <alignment vertical="center"/>
    </xf>
    <xf numFmtId="0" fontId="29" fillId="3" borderId="9" xfId="0" applyFont="1" applyFill="1" applyBorder="1">
      <alignment vertical="center"/>
    </xf>
    <xf numFmtId="0" fontId="5" fillId="3" borderId="0" xfId="0" applyFont="1" applyFill="1">
      <alignment vertical="center"/>
    </xf>
    <xf numFmtId="178" fontId="32" fillId="2" borderId="2" xfId="7" applyNumberFormat="1" applyFont="1" applyFill="1" applyBorder="1">
      <alignment vertical="center"/>
    </xf>
    <xf numFmtId="178" fontId="32" fillId="2" borderId="3" xfId="7" applyNumberFormat="1" applyFont="1" applyFill="1" applyBorder="1">
      <alignment vertical="center"/>
    </xf>
    <xf numFmtId="178" fontId="32" fillId="2" borderId="7" xfId="7" applyNumberFormat="1" applyFont="1" applyFill="1" applyBorder="1">
      <alignment vertical="center"/>
    </xf>
    <xf numFmtId="178" fontId="32" fillId="2" borderId="0" xfId="7" applyNumberFormat="1" applyFont="1" applyFill="1" applyBorder="1">
      <alignment vertical="center"/>
    </xf>
    <xf numFmtId="178" fontId="32" fillId="2" borderId="8" xfId="7" applyNumberFormat="1" applyFont="1" applyFill="1" applyBorder="1">
      <alignment vertical="center"/>
    </xf>
    <xf numFmtId="178" fontId="32" fillId="2" borderId="1" xfId="7" applyNumberFormat="1" applyFont="1" applyFill="1" applyBorder="1">
      <alignment vertical="center"/>
    </xf>
    <xf numFmtId="38" fontId="36" fillId="2" borderId="0" xfId="1" applyFont="1" applyFill="1" applyAlignment="1">
      <alignment horizontal="right"/>
    </xf>
    <xf numFmtId="38" fontId="32" fillId="6" borderId="28" xfId="6" applyFont="1" applyFill="1" applyBorder="1">
      <alignment vertical="center"/>
    </xf>
    <xf numFmtId="38" fontId="32" fillId="6" borderId="38" xfId="6" applyFont="1" applyFill="1" applyBorder="1">
      <alignment vertical="center"/>
    </xf>
    <xf numFmtId="0" fontId="32" fillId="6" borderId="26" xfId="3" applyFont="1" applyFill="1" applyBorder="1">
      <alignment vertical="center"/>
    </xf>
    <xf numFmtId="38" fontId="5" fillId="0" borderId="0" xfId="3" applyNumberFormat="1" applyFont="1">
      <alignment vertical="center"/>
    </xf>
    <xf numFmtId="184" fontId="32" fillId="6" borderId="28" xfId="7" applyNumberFormat="1" applyFont="1" applyFill="1" applyBorder="1">
      <alignment vertical="center"/>
    </xf>
    <xf numFmtId="184" fontId="32" fillId="6" borderId="38" xfId="7" applyNumberFormat="1" applyFont="1" applyFill="1" applyBorder="1">
      <alignment vertical="center"/>
    </xf>
    <xf numFmtId="38" fontId="32" fillId="6" borderId="28" xfId="1" applyFont="1" applyFill="1" applyBorder="1">
      <alignment vertical="center"/>
    </xf>
    <xf numFmtId="38" fontId="32" fillId="6" borderId="38" xfId="1" applyFont="1" applyFill="1" applyBorder="1">
      <alignment vertical="center"/>
    </xf>
    <xf numFmtId="38" fontId="32" fillId="6" borderId="28" xfId="12" applyFont="1" applyFill="1" applyBorder="1">
      <alignment vertical="center"/>
    </xf>
    <xf numFmtId="38" fontId="32" fillId="6" borderId="28" xfId="12" applyNumberFormat="1" applyFont="1" applyFill="1" applyBorder="1">
      <alignment vertical="center"/>
    </xf>
    <xf numFmtId="38" fontId="32" fillId="6" borderId="28" xfId="6" applyNumberFormat="1" applyFont="1" applyFill="1" applyBorder="1">
      <alignment vertical="center"/>
    </xf>
    <xf numFmtId="38" fontId="32" fillId="6" borderId="38" xfId="12" applyNumberFormat="1" applyFont="1" applyFill="1" applyBorder="1">
      <alignment vertical="center"/>
    </xf>
    <xf numFmtId="178" fontId="32" fillId="6" borderId="28" xfId="8" applyNumberFormat="1" applyFont="1" applyFill="1" applyBorder="1" applyAlignment="1">
      <alignment vertical="center"/>
    </xf>
    <xf numFmtId="178" fontId="32" fillId="6" borderId="28" xfId="6" applyNumberFormat="1" applyFont="1" applyFill="1" applyBorder="1">
      <alignment vertical="center"/>
    </xf>
    <xf numFmtId="178" fontId="32" fillId="6" borderId="38" xfId="8" applyNumberFormat="1" applyFont="1" applyFill="1" applyBorder="1" applyAlignment="1">
      <alignment vertical="center"/>
    </xf>
    <xf numFmtId="38" fontId="31" fillId="2" borderId="15" xfId="6" applyFont="1" applyFill="1" applyBorder="1">
      <alignment vertical="center"/>
    </xf>
    <xf numFmtId="38" fontId="31" fillId="2" borderId="18" xfId="6" applyFont="1" applyFill="1" applyBorder="1">
      <alignment vertical="center"/>
    </xf>
    <xf numFmtId="38" fontId="31" fillId="2" borderId="22" xfId="6" applyFont="1" applyFill="1" applyBorder="1">
      <alignment vertical="center"/>
    </xf>
    <xf numFmtId="38" fontId="31" fillId="3" borderId="15" xfId="6" applyFont="1" applyFill="1" applyBorder="1">
      <alignment vertical="center"/>
    </xf>
    <xf numFmtId="38" fontId="31" fillId="3" borderId="22" xfId="6" applyFont="1" applyFill="1" applyBorder="1">
      <alignment vertical="center"/>
    </xf>
    <xf numFmtId="38" fontId="31" fillId="2" borderId="24" xfId="6" applyFont="1" applyFill="1" applyBorder="1">
      <alignment vertical="center"/>
    </xf>
    <xf numFmtId="38" fontId="31" fillId="2" borderId="23" xfId="6" applyFont="1" applyFill="1" applyBorder="1">
      <alignment vertical="center"/>
    </xf>
    <xf numFmtId="38" fontId="31" fillId="3" borderId="0" xfId="6" applyFont="1" applyFill="1" applyBorder="1">
      <alignment vertical="center"/>
    </xf>
    <xf numFmtId="0" fontId="36" fillId="0" borderId="0" xfId="0" applyFont="1">
      <alignment vertical="center"/>
    </xf>
    <xf numFmtId="38" fontId="31" fillId="0" borderId="56" xfId="1" applyFont="1" applyFill="1" applyBorder="1">
      <alignment vertical="center"/>
    </xf>
    <xf numFmtId="38" fontId="31" fillId="0" borderId="57" xfId="1" applyFont="1" applyFill="1" applyBorder="1">
      <alignment vertical="center"/>
    </xf>
    <xf numFmtId="38" fontId="31" fillId="0" borderId="58" xfId="1" applyFont="1" applyFill="1" applyBorder="1">
      <alignment vertical="center"/>
    </xf>
    <xf numFmtId="38" fontId="32" fillId="6" borderId="29" xfId="6" applyFont="1" applyFill="1" applyBorder="1">
      <alignment vertical="center"/>
    </xf>
    <xf numFmtId="38" fontId="32" fillId="6" borderId="55" xfId="1" applyFont="1" applyFill="1" applyBorder="1">
      <alignment vertical="center"/>
    </xf>
    <xf numFmtId="0" fontId="23" fillId="2" borderId="3" xfId="2" applyFont="1" applyFill="1" applyBorder="1" applyAlignment="1">
      <alignment horizontal="centerContinuous" vertical="center"/>
    </xf>
    <xf numFmtId="179" fontId="23" fillId="2" borderId="3" xfId="2" applyNumberFormat="1" applyFont="1" applyFill="1" applyBorder="1" applyAlignment="1">
      <alignment horizontal="centerContinuous" vertical="center"/>
    </xf>
    <xf numFmtId="180" fontId="23" fillId="2" borderId="3" xfId="2" applyNumberFormat="1" applyFont="1" applyFill="1" applyBorder="1" applyAlignment="1">
      <alignment horizontal="centerContinuous" vertical="center"/>
    </xf>
    <xf numFmtId="179" fontId="23" fillId="2" borderId="6" xfId="2" applyNumberFormat="1" applyFont="1" applyFill="1" applyBorder="1" applyAlignment="1">
      <alignment horizontal="centerContinuous" vertical="center"/>
    </xf>
    <xf numFmtId="0" fontId="23" fillId="2" borderId="4" xfId="2" applyFont="1" applyFill="1" applyBorder="1" applyAlignment="1">
      <alignment horizontal="centerContinuous" vertical="center"/>
    </xf>
    <xf numFmtId="179" fontId="23" fillId="2" borderId="5" xfId="2" applyNumberFormat="1" applyFont="1" applyFill="1" applyBorder="1" applyAlignment="1">
      <alignment horizontal="centerContinuous" vertical="center"/>
    </xf>
    <xf numFmtId="179" fontId="23" fillId="2" borderId="19" xfId="2" applyNumberFormat="1" applyFont="1" applyFill="1" applyBorder="1" applyAlignment="1">
      <alignment horizontal="centerContinuous" vertical="center"/>
    </xf>
    <xf numFmtId="0" fontId="39" fillId="0" borderId="12" xfId="4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left" vertical="center"/>
    </xf>
    <xf numFmtId="182" fontId="28" fillId="4" borderId="23" xfId="4" applyNumberFormat="1" applyFont="1" applyFill="1" applyBorder="1" applyAlignment="1">
      <alignment vertical="center" wrapText="1"/>
    </xf>
    <xf numFmtId="182" fontId="28" fillId="0" borderId="23" xfId="4" applyNumberFormat="1" applyFont="1" applyBorder="1" applyAlignment="1">
      <alignment vertical="center" wrapText="1"/>
    </xf>
    <xf numFmtId="182" fontId="39" fillId="6" borderId="28" xfId="4" applyNumberFormat="1" applyFont="1" applyFill="1" applyBorder="1" applyAlignment="1">
      <alignment vertical="center" wrapText="1"/>
    </xf>
    <xf numFmtId="182" fontId="39" fillId="6" borderId="29" xfId="4" applyNumberFormat="1" applyFont="1" applyFill="1" applyBorder="1" applyAlignment="1">
      <alignment vertical="center" wrapText="1"/>
    </xf>
    <xf numFmtId="0" fontId="28" fillId="0" borderId="27" xfId="4" applyFont="1" applyBorder="1">
      <alignment vertical="center"/>
    </xf>
    <xf numFmtId="38" fontId="36" fillId="0" borderId="15" xfId="1" applyFont="1" applyBorder="1">
      <alignment vertical="center"/>
    </xf>
    <xf numFmtId="178" fontId="31" fillId="2" borderId="12" xfId="8" applyNumberFormat="1" applyFont="1" applyFill="1" applyBorder="1" applyAlignment="1">
      <alignment vertical="center"/>
    </xf>
    <xf numFmtId="178" fontId="31" fillId="2" borderId="22" xfId="8" applyNumberFormat="1" applyFont="1" applyFill="1" applyBorder="1" applyAlignment="1">
      <alignment vertical="center"/>
    </xf>
    <xf numFmtId="178" fontId="31" fillId="2" borderId="19" xfId="8" applyNumberFormat="1" applyFont="1" applyFill="1" applyBorder="1" applyAlignment="1">
      <alignment vertical="center"/>
    </xf>
    <xf numFmtId="178" fontId="31" fillId="2" borderId="23" xfId="8" applyNumberFormat="1" applyFont="1" applyFill="1" applyBorder="1" applyAlignment="1">
      <alignment vertical="center"/>
    </xf>
    <xf numFmtId="178" fontId="31" fillId="2" borderId="18" xfId="8" applyNumberFormat="1" applyFont="1" applyFill="1" applyBorder="1" applyAlignment="1">
      <alignment vertical="center"/>
    </xf>
    <xf numFmtId="178" fontId="31" fillId="2" borderId="15" xfId="8" applyNumberFormat="1" applyFont="1" applyFill="1" applyBorder="1" applyAlignment="1">
      <alignment vertical="center"/>
    </xf>
    <xf numFmtId="178" fontId="31" fillId="2" borderId="10" xfId="8" applyNumberFormat="1" applyFont="1" applyFill="1" applyBorder="1" applyAlignment="1">
      <alignment vertical="center"/>
    </xf>
    <xf numFmtId="178" fontId="31" fillId="2" borderId="31" xfId="8" applyNumberFormat="1" applyFont="1" applyFill="1" applyBorder="1" applyAlignment="1">
      <alignment vertical="center"/>
    </xf>
    <xf numFmtId="178" fontId="32" fillId="2" borderId="31" xfId="8" applyNumberFormat="1" applyFont="1" applyFill="1" applyBorder="1" applyAlignment="1">
      <alignment vertical="center"/>
    </xf>
    <xf numFmtId="183" fontId="32" fillId="6" borderId="38" xfId="6" applyNumberFormat="1" applyFont="1" applyFill="1" applyBorder="1">
      <alignment vertical="center"/>
    </xf>
    <xf numFmtId="183" fontId="32" fillId="6" borderId="28" xfId="6" applyNumberFormat="1" applyFont="1" applyFill="1" applyBorder="1">
      <alignment vertical="center"/>
    </xf>
    <xf numFmtId="0" fontId="35" fillId="4" borderId="7" xfId="3" applyNumberFormat="1" applyFont="1" applyFill="1" applyBorder="1">
      <alignment vertical="center"/>
    </xf>
    <xf numFmtId="0" fontId="31" fillId="2" borderId="7" xfId="3" applyNumberFormat="1" applyFont="1" applyFill="1" applyBorder="1">
      <alignment vertical="center"/>
    </xf>
    <xf numFmtId="0" fontId="31" fillId="2" borderId="43" xfId="3" applyNumberFormat="1" applyFont="1" applyFill="1" applyBorder="1">
      <alignment vertical="center"/>
    </xf>
    <xf numFmtId="0" fontId="31" fillId="0" borderId="44" xfId="1" applyNumberFormat="1" applyFont="1" applyFill="1" applyBorder="1">
      <alignment vertical="center"/>
    </xf>
    <xf numFmtId="0" fontId="31" fillId="0" borderId="19" xfId="1" applyNumberFormat="1" applyFont="1" applyFill="1" applyBorder="1">
      <alignment vertical="center"/>
    </xf>
    <xf numFmtId="0" fontId="36" fillId="0" borderId="0" xfId="3" applyNumberFormat="1" applyFont="1">
      <alignment vertical="center"/>
    </xf>
    <xf numFmtId="0" fontId="31" fillId="0" borderId="4" xfId="2" applyFont="1" applyFill="1" applyBorder="1">
      <alignment vertical="center"/>
    </xf>
    <xf numFmtId="0" fontId="31" fillId="0" borderId="0" xfId="2" applyFont="1" applyFill="1">
      <alignment vertical="center"/>
    </xf>
    <xf numFmtId="0" fontId="31" fillId="0" borderId="0" xfId="3" applyFont="1" applyFill="1">
      <alignment vertical="center"/>
    </xf>
    <xf numFmtId="38" fontId="31" fillId="4" borderId="19" xfId="1" applyFont="1" applyFill="1" applyBorder="1">
      <alignment vertical="center"/>
    </xf>
    <xf numFmtId="0" fontId="32" fillId="0" borderId="12" xfId="2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178" fontId="31" fillId="4" borderId="2" xfId="8" applyNumberFormat="1" applyFont="1" applyFill="1" applyBorder="1" applyAlignment="1">
      <alignment vertical="center"/>
    </xf>
    <xf numFmtId="178" fontId="31" fillId="2" borderId="2" xfId="8" applyNumberFormat="1" applyFont="1" applyFill="1" applyBorder="1" applyAlignment="1">
      <alignment vertical="center"/>
    </xf>
    <xf numFmtId="178" fontId="31" fillId="2" borderId="20" xfId="8" applyNumberFormat="1" applyFont="1" applyFill="1" applyBorder="1" applyAlignment="1">
      <alignment vertical="center"/>
    </xf>
    <xf numFmtId="178" fontId="31" fillId="2" borderId="7" xfId="8" applyNumberFormat="1" applyFont="1" applyFill="1" applyBorder="1" applyAlignment="1">
      <alignment vertical="center"/>
    </xf>
    <xf numFmtId="178" fontId="31" fillId="2" borderId="4" xfId="8" applyNumberFormat="1" applyFont="1" applyFill="1" applyBorder="1" applyAlignment="1">
      <alignment vertical="center"/>
    </xf>
    <xf numFmtId="178" fontId="31" fillId="2" borderId="13" xfId="8" applyNumberFormat="1" applyFont="1" applyFill="1" applyBorder="1" applyAlignment="1">
      <alignment vertical="center"/>
    </xf>
    <xf numFmtId="178" fontId="31" fillId="2" borderId="16" xfId="8" applyNumberFormat="1" applyFont="1" applyFill="1" applyBorder="1" applyAlignment="1">
      <alignment vertical="center"/>
    </xf>
    <xf numFmtId="178" fontId="31" fillId="0" borderId="16" xfId="8" applyNumberFormat="1" applyFont="1" applyFill="1" applyBorder="1" applyAlignment="1">
      <alignment vertical="center"/>
    </xf>
    <xf numFmtId="178" fontId="32" fillId="6" borderId="29" xfId="8" applyNumberFormat="1" applyFont="1" applyFill="1" applyBorder="1" applyAlignment="1">
      <alignment vertical="center"/>
    </xf>
    <xf numFmtId="38" fontId="31" fillId="2" borderId="18" xfId="1" applyNumberFormat="1" applyFont="1" applyFill="1" applyBorder="1" applyAlignment="1">
      <alignment vertical="center"/>
    </xf>
    <xf numFmtId="183" fontId="31" fillId="0" borderId="3" xfId="6" applyNumberFormat="1" applyFont="1" applyFill="1" applyBorder="1">
      <alignment vertical="center"/>
    </xf>
    <xf numFmtId="183" fontId="36" fillId="0" borderId="0" xfId="3" applyNumberFormat="1" applyFont="1">
      <alignment vertical="center"/>
    </xf>
    <xf numFmtId="178" fontId="31" fillId="2" borderId="15" xfId="8" applyNumberFormat="1" applyFont="1" applyFill="1" applyBorder="1" applyAlignment="1">
      <alignment horizontal="right" vertical="center"/>
    </xf>
    <xf numFmtId="0" fontId="32" fillId="6" borderId="30" xfId="2" applyFont="1" applyFill="1" applyBorder="1" applyAlignment="1">
      <alignment horizontal="left" vertical="top" wrapText="1"/>
    </xf>
    <xf numFmtId="0" fontId="32" fillId="6" borderId="26" xfId="2" applyFont="1" applyFill="1" applyBorder="1" applyAlignment="1">
      <alignment horizontal="left" vertical="top" wrapText="1"/>
    </xf>
    <xf numFmtId="0" fontId="32" fillId="6" borderId="39" xfId="2" applyFont="1" applyFill="1" applyBorder="1" applyAlignment="1">
      <alignment horizontal="left" vertical="top" wrapText="1"/>
    </xf>
    <xf numFmtId="177" fontId="34" fillId="8" borderId="6" xfId="3" applyNumberFormat="1" applyFont="1" applyFill="1" applyBorder="1" applyAlignment="1">
      <alignment horizontal="center" vertical="center" wrapText="1"/>
    </xf>
    <xf numFmtId="177" fontId="34" fillId="8" borderId="11" xfId="3" applyNumberFormat="1" applyFont="1" applyFill="1" applyBorder="1" applyAlignment="1">
      <alignment horizontal="center" vertical="center" wrapText="1"/>
    </xf>
    <xf numFmtId="189" fontId="23" fillId="0" borderId="6" xfId="7" applyNumberFormat="1" applyFont="1" applyFill="1" applyBorder="1" applyAlignment="1">
      <alignment horizontal="center" vertical="center" wrapText="1"/>
    </xf>
    <xf numFmtId="189" fontId="23" fillId="0" borderId="11" xfId="7" applyNumberFormat="1" applyFont="1" applyFill="1" applyBorder="1" applyAlignment="1">
      <alignment horizontal="center" vertical="center" wrapText="1"/>
    </xf>
    <xf numFmtId="176" fontId="38" fillId="0" borderId="1" xfId="3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3" fillId="0" borderId="6" xfId="3" applyFont="1" applyBorder="1" applyAlignment="1">
      <alignment horizontal="center" vertical="center"/>
    </xf>
    <xf numFmtId="0" fontId="23" fillId="2" borderId="4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6" xfId="3" applyFont="1" applyFill="1" applyBorder="1" applyAlignment="1">
      <alignment horizontal="center" vertical="center"/>
    </xf>
    <xf numFmtId="0" fontId="23" fillId="0" borderId="2" xfId="7" applyNumberFormat="1" applyFont="1" applyFill="1" applyBorder="1" applyAlignment="1">
      <alignment horizontal="center" vertical="center"/>
    </xf>
    <xf numFmtId="0" fontId="23" fillId="0" borderId="3" xfId="7" applyNumberFormat="1" applyFont="1" applyFill="1" applyBorder="1" applyAlignment="1">
      <alignment horizontal="center" vertical="center"/>
    </xf>
    <xf numFmtId="0" fontId="23" fillId="0" borderId="6" xfId="7" applyNumberFormat="1" applyFont="1" applyFill="1" applyBorder="1" applyAlignment="1">
      <alignment horizontal="center" vertical="center"/>
    </xf>
    <xf numFmtId="177" fontId="23" fillId="0" borderId="6" xfId="7" applyNumberFormat="1" applyFont="1" applyFill="1" applyBorder="1" applyAlignment="1">
      <alignment horizontal="center" vertical="center" wrapText="1"/>
    </xf>
    <xf numFmtId="177" fontId="23" fillId="0" borderId="11" xfId="7" applyNumberFormat="1" applyFont="1" applyFill="1" applyBorder="1" applyAlignment="1">
      <alignment horizontal="center" vertical="center" wrapText="1"/>
    </xf>
    <xf numFmtId="177" fontId="23" fillId="8" borderId="6" xfId="3" applyNumberFormat="1" applyFont="1" applyFill="1" applyBorder="1" applyAlignment="1">
      <alignment horizontal="center" vertical="center" wrapText="1"/>
    </xf>
    <xf numFmtId="177" fontId="23" fillId="8" borderId="11" xfId="3" applyNumberFormat="1" applyFont="1" applyFill="1" applyBorder="1" applyAlignment="1">
      <alignment horizontal="center" vertical="center" wrapText="1"/>
    </xf>
    <xf numFmtId="0" fontId="23" fillId="0" borderId="4" xfId="1" applyNumberFormat="1" applyFont="1" applyBorder="1" applyAlignment="1">
      <alignment horizontal="center" vertical="center"/>
    </xf>
    <xf numFmtId="0" fontId="23" fillId="0" borderId="5" xfId="1" applyNumberFormat="1" applyFont="1" applyBorder="1" applyAlignment="1">
      <alignment horizontal="center" vertical="center"/>
    </xf>
    <xf numFmtId="0" fontId="23" fillId="0" borderId="6" xfId="1" applyNumberFormat="1" applyFont="1" applyBorder="1" applyAlignment="1">
      <alignment horizontal="center" vertical="center"/>
    </xf>
    <xf numFmtId="187" fontId="34" fillId="8" borderId="6" xfId="3" applyNumberFormat="1" applyFont="1" applyFill="1" applyBorder="1" applyAlignment="1">
      <alignment horizontal="center" vertical="center" wrapText="1"/>
    </xf>
    <xf numFmtId="187" fontId="34" fillId="8" borderId="11" xfId="3" applyNumberFormat="1" applyFont="1" applyFill="1" applyBorder="1" applyAlignment="1">
      <alignment horizontal="center" vertical="center" wrapText="1"/>
    </xf>
    <xf numFmtId="188" fontId="23" fillId="0" borderId="2" xfId="7" applyNumberFormat="1" applyFont="1" applyFill="1" applyBorder="1" applyAlignment="1">
      <alignment horizontal="center" vertical="center"/>
    </xf>
    <xf numFmtId="188" fontId="23" fillId="0" borderId="3" xfId="7" applyNumberFormat="1" applyFont="1" applyFill="1" applyBorder="1" applyAlignment="1">
      <alignment horizontal="center" vertical="center"/>
    </xf>
    <xf numFmtId="188" fontId="23" fillId="0" borderId="6" xfId="7" applyNumberFormat="1" applyFont="1" applyFill="1" applyBorder="1" applyAlignment="1">
      <alignment horizontal="center" vertical="center"/>
    </xf>
    <xf numFmtId="0" fontId="32" fillId="2" borderId="2" xfId="2" applyFont="1" applyFill="1" applyBorder="1" applyAlignment="1">
      <alignment horizontal="center" vertical="center"/>
    </xf>
    <xf numFmtId="0" fontId="32" fillId="2" borderId="3" xfId="2" applyFont="1" applyFill="1" applyBorder="1" applyAlignment="1">
      <alignment horizontal="center" vertical="center"/>
    </xf>
    <xf numFmtId="176" fontId="38" fillId="0" borderId="0" xfId="3" applyNumberFormat="1" applyFont="1" applyBorder="1" applyAlignment="1">
      <alignment horizontal="left" vertical="center"/>
    </xf>
    <xf numFmtId="0" fontId="32" fillId="2" borderId="4" xfId="3" applyFont="1" applyFill="1" applyBorder="1" applyAlignment="1">
      <alignment horizontal="center" vertical="center"/>
    </xf>
    <xf numFmtId="0" fontId="32" fillId="2" borderId="5" xfId="3" applyFont="1" applyFill="1" applyBorder="1" applyAlignment="1">
      <alignment horizontal="center" vertical="center"/>
    </xf>
    <xf numFmtId="0" fontId="32" fillId="2" borderId="36" xfId="3" applyFont="1" applyFill="1" applyBorder="1" applyAlignment="1">
      <alignment horizontal="center" vertical="center"/>
    </xf>
    <xf numFmtId="0" fontId="39" fillId="0" borderId="2" xfId="4" applyFont="1" applyFill="1" applyBorder="1" applyAlignment="1">
      <alignment horizontal="center" vertical="center"/>
    </xf>
    <xf numFmtId="0" fontId="39" fillId="0" borderId="6" xfId="4" applyFont="1" applyFill="1" applyBorder="1" applyAlignment="1">
      <alignment horizontal="center" vertical="center"/>
    </xf>
  </cellXfs>
  <cellStyles count="13">
    <cellStyle name="パーセント" xfId="8" builtinId="5"/>
    <cellStyle name="パーセント 2" xfId="7" xr:uid="{05BBFC91-DE53-4639-9CA8-2329FF5116E1}"/>
    <cellStyle name="パーセント 3" xfId="11" xr:uid="{D1CC1507-9FE6-4EA3-A5F2-B003F521F3B0}"/>
    <cellStyle name="桁区切り" xfId="1" builtinId="6"/>
    <cellStyle name="桁区切り 2" xfId="5" xr:uid="{6AABF870-06F5-419F-86E4-AC3095112DFE}"/>
    <cellStyle name="桁区切り 3" xfId="6" xr:uid="{360FB089-3BD1-4EB1-9A8F-76EF60C424BD}"/>
    <cellStyle name="桁区切り 4" xfId="10" xr:uid="{016FC3C3-DEA8-4B2C-BE12-6405787738E5}"/>
    <cellStyle name="桁区切り 6" xfId="12" xr:uid="{71699B59-45A8-46CF-97A3-9912142AD9F1}"/>
    <cellStyle name="標準" xfId="0" builtinId="0"/>
    <cellStyle name="標準 2" xfId="3" xr:uid="{109E3120-9678-4967-921E-E07EC8079B49}"/>
    <cellStyle name="標準 3" xfId="4" xr:uid="{9A06FD27-FEF1-49F1-80CF-BE86BE189BFF}"/>
    <cellStyle name="標準 4" xfId="9" xr:uid="{BA22B914-5546-49F8-8E22-B6F5338B7A0A}"/>
    <cellStyle name="標準_904Q 台数まとめ（配布用）" xfId="2" xr:uid="{C3F12D87-9FC6-4BBA-9041-FE4AF3581E4B}"/>
  </cellStyles>
  <dxfs count="0"/>
  <tableStyles count="0" defaultTableStyle="TableStyleMedium2" defaultPivotStyle="PivotStyleLight16"/>
  <colors>
    <mruColors>
      <color rgb="FFFFFFCC"/>
      <color rgb="FFCCEC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S06.WEBSITE\40_Website&#25522;&#36617;&#29992;&#12501;&#12449;&#12452;&#12523;&#12304;10&#24180;&#20445;&#23384;&#12305;\2024&#24180;\20240130_&#29983;&#36009;&#36664;\&#29983;&#36009;&#36664;\CY2023_202312_monthly_data_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"/>
      <sheetName val="CY2013-2020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3792-7515-4EB2-9C5E-CF9884DC8359}">
  <dimension ref="A1:U97"/>
  <sheetViews>
    <sheetView showGridLines="0" tabSelected="1" topLeftCell="D1" zoomScale="55" zoomScaleNormal="55" workbookViewId="0">
      <selection activeCell="K2" sqref="K2"/>
    </sheetView>
  </sheetViews>
  <sheetFormatPr defaultColWidth="8.59765625" defaultRowHeight="15" x14ac:dyDescent="0.45"/>
  <cols>
    <col min="1" max="3" width="8.59765625" style="105"/>
    <col min="4" max="4" width="20.19921875" style="105" customWidth="1"/>
    <col min="5" max="6" width="13.59765625" style="105" customWidth="1"/>
    <col min="7" max="7" width="13.09765625" style="105" customWidth="1"/>
    <col min="8" max="8" width="14.5" style="105" customWidth="1"/>
    <col min="9" max="21" width="14.296875" style="105" customWidth="1"/>
    <col min="22" max="16384" width="8.59765625" style="105"/>
  </cols>
  <sheetData>
    <row r="1" spans="1:21" x14ac:dyDescent="0.45">
      <c r="A1" s="103"/>
      <c r="B1" s="104"/>
      <c r="C1" s="104"/>
      <c r="D1" s="104"/>
      <c r="E1" s="104"/>
      <c r="F1" s="104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</row>
    <row r="2" spans="1:21" ht="22.8" x14ac:dyDescent="0.3">
      <c r="A2" s="103"/>
      <c r="B2" s="106" t="s">
        <v>163</v>
      </c>
      <c r="C2" s="104"/>
      <c r="D2" s="104"/>
      <c r="E2" s="104"/>
      <c r="F2" s="104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T2" s="151"/>
      <c r="U2" s="103"/>
    </row>
    <row r="3" spans="1:21" ht="16.2" x14ac:dyDescent="0.3">
      <c r="A3" s="103"/>
      <c r="B3" s="359" t="s">
        <v>36</v>
      </c>
      <c r="C3" s="107"/>
      <c r="D3" s="107"/>
      <c r="E3" s="108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509" t="s">
        <v>105</v>
      </c>
    </row>
    <row r="4" spans="1:21" ht="16.2" x14ac:dyDescent="0.45">
      <c r="A4" s="103"/>
      <c r="B4" s="116"/>
      <c r="C4" s="152"/>
      <c r="D4" s="152"/>
      <c r="E4" s="153">
        <v>2024</v>
      </c>
      <c r="F4" s="154"/>
      <c r="G4" s="154"/>
      <c r="H4" s="154"/>
      <c r="I4" s="154"/>
      <c r="J4" s="154"/>
      <c r="K4" s="154"/>
      <c r="L4" s="154"/>
      <c r="M4" s="155"/>
      <c r="N4" s="154"/>
      <c r="O4" s="154"/>
      <c r="P4" s="154"/>
      <c r="Q4" s="154"/>
      <c r="R4" s="154"/>
      <c r="S4" s="156"/>
      <c r="T4" s="154"/>
      <c r="U4" s="156"/>
    </row>
    <row r="5" spans="1:21" ht="16.2" x14ac:dyDescent="0.45">
      <c r="A5" s="103"/>
      <c r="B5" s="122"/>
      <c r="C5" s="157"/>
      <c r="D5" s="157"/>
      <c r="E5" s="149"/>
      <c r="F5" s="150"/>
      <c r="G5" s="150"/>
      <c r="H5" s="593" t="s">
        <v>165</v>
      </c>
      <c r="I5" s="182"/>
      <c r="J5" s="183"/>
      <c r="K5" s="183"/>
      <c r="L5" s="593" t="s">
        <v>166</v>
      </c>
      <c r="M5" s="182"/>
      <c r="N5" s="183"/>
      <c r="O5" s="183"/>
      <c r="P5" s="593" t="s">
        <v>167</v>
      </c>
      <c r="Q5" s="182"/>
      <c r="R5" s="183"/>
      <c r="S5" s="183"/>
      <c r="T5" s="593" t="s">
        <v>168</v>
      </c>
      <c r="U5" s="135">
        <f>E4</f>
        <v>2024</v>
      </c>
    </row>
    <row r="6" spans="1:21" ht="16.2" x14ac:dyDescent="0.45">
      <c r="A6" s="103"/>
      <c r="B6" s="122"/>
      <c r="C6" s="157"/>
      <c r="D6" s="157"/>
      <c r="E6" s="136" t="s">
        <v>152</v>
      </c>
      <c r="F6" s="136" t="s">
        <v>153</v>
      </c>
      <c r="G6" s="136" t="s">
        <v>154</v>
      </c>
      <c r="H6" s="594"/>
      <c r="I6" s="137" t="s">
        <v>155</v>
      </c>
      <c r="J6" s="136" t="s">
        <v>103</v>
      </c>
      <c r="K6" s="136" t="s">
        <v>156</v>
      </c>
      <c r="L6" s="594"/>
      <c r="M6" s="137" t="s">
        <v>157</v>
      </c>
      <c r="N6" s="136" t="s">
        <v>158</v>
      </c>
      <c r="O6" s="136" t="s">
        <v>159</v>
      </c>
      <c r="P6" s="594"/>
      <c r="Q6" s="137" t="s">
        <v>160</v>
      </c>
      <c r="R6" s="136" t="s">
        <v>161</v>
      </c>
      <c r="S6" s="213" t="s">
        <v>162</v>
      </c>
      <c r="T6" s="594"/>
      <c r="U6" s="137" t="s">
        <v>39</v>
      </c>
    </row>
    <row r="7" spans="1:21" ht="16.2" x14ac:dyDescent="0.45">
      <c r="A7" s="103"/>
      <c r="B7" s="112" t="s">
        <v>56</v>
      </c>
      <c r="C7" s="113"/>
      <c r="D7" s="187"/>
      <c r="E7" s="158">
        <v>56469</v>
      </c>
      <c r="F7" s="158">
        <v>51010</v>
      </c>
      <c r="G7" s="158">
        <v>61370</v>
      </c>
      <c r="H7" s="158">
        <v>168849</v>
      </c>
      <c r="I7" s="158">
        <v>57196</v>
      </c>
      <c r="J7" s="158">
        <v>51125</v>
      </c>
      <c r="K7" s="158">
        <v>56037</v>
      </c>
      <c r="L7" s="158">
        <v>164358</v>
      </c>
      <c r="M7" s="158">
        <v>61679</v>
      </c>
      <c r="N7" s="158">
        <v>50431</v>
      </c>
      <c r="O7" s="158">
        <v>61707</v>
      </c>
      <c r="P7" s="158">
        <v>173817</v>
      </c>
      <c r="Q7" s="158">
        <v>66072</v>
      </c>
      <c r="R7" s="158">
        <v>63850</v>
      </c>
      <c r="S7" s="159">
        <v>56313</v>
      </c>
      <c r="T7" s="158">
        <v>186235</v>
      </c>
      <c r="U7" s="158">
        <v>693259</v>
      </c>
    </row>
    <row r="8" spans="1:21" ht="16.2" x14ac:dyDescent="0.45">
      <c r="A8" s="103"/>
      <c r="B8" s="112" t="s">
        <v>59</v>
      </c>
      <c r="C8" s="113"/>
      <c r="D8" s="187"/>
      <c r="E8" s="114">
        <v>135474</v>
      </c>
      <c r="F8" s="114">
        <v>142408</v>
      </c>
      <c r="G8" s="114">
        <v>138781</v>
      </c>
      <c r="H8" s="114">
        <v>416663</v>
      </c>
      <c r="I8" s="114">
        <v>138175</v>
      </c>
      <c r="J8" s="114">
        <v>147808</v>
      </c>
      <c r="K8" s="114">
        <v>131460</v>
      </c>
      <c r="L8" s="114">
        <v>417443</v>
      </c>
      <c r="M8" s="114">
        <v>120491</v>
      </c>
      <c r="N8" s="114">
        <v>143859</v>
      </c>
      <c r="O8" s="114">
        <v>137024</v>
      </c>
      <c r="P8" s="114">
        <v>401374</v>
      </c>
      <c r="Q8" s="114">
        <v>156359</v>
      </c>
      <c r="R8" s="114">
        <v>137161</v>
      </c>
      <c r="S8" s="160">
        <v>91030</v>
      </c>
      <c r="T8" s="114">
        <v>384550</v>
      </c>
      <c r="U8" s="114">
        <v>1620030</v>
      </c>
    </row>
    <row r="9" spans="1:21" ht="16.2" x14ac:dyDescent="0.45">
      <c r="A9" s="103"/>
      <c r="B9" s="115"/>
      <c r="C9" s="222" t="s">
        <v>61</v>
      </c>
      <c r="D9" s="223"/>
      <c r="E9" s="118">
        <v>29558</v>
      </c>
      <c r="F9" s="118">
        <v>37890</v>
      </c>
      <c r="G9" s="118">
        <v>37561</v>
      </c>
      <c r="H9" s="118">
        <v>105009</v>
      </c>
      <c r="I9" s="118">
        <v>37722</v>
      </c>
      <c r="J9" s="118">
        <v>40693</v>
      </c>
      <c r="K9" s="118">
        <v>34872</v>
      </c>
      <c r="L9" s="118">
        <v>113287</v>
      </c>
      <c r="M9" s="118">
        <v>28767</v>
      </c>
      <c r="N9" s="118">
        <v>39908</v>
      </c>
      <c r="O9" s="118">
        <v>36014</v>
      </c>
      <c r="P9" s="118">
        <v>104689</v>
      </c>
      <c r="Q9" s="118">
        <v>41685</v>
      </c>
      <c r="R9" s="118">
        <v>33655</v>
      </c>
      <c r="S9" s="161">
        <v>17386</v>
      </c>
      <c r="T9" s="118">
        <v>92726</v>
      </c>
      <c r="U9" s="118">
        <v>415711</v>
      </c>
    </row>
    <row r="10" spans="1:21" ht="16.2" x14ac:dyDescent="0.45">
      <c r="A10" s="103"/>
      <c r="B10" s="115"/>
      <c r="C10" s="119" t="s">
        <v>63</v>
      </c>
      <c r="D10" s="224"/>
      <c r="E10" s="121">
        <v>27653</v>
      </c>
      <c r="F10" s="121">
        <v>31779</v>
      </c>
      <c r="G10" s="121">
        <v>30375</v>
      </c>
      <c r="H10" s="121">
        <v>89807</v>
      </c>
      <c r="I10" s="121">
        <v>30467</v>
      </c>
      <c r="J10" s="121">
        <v>30427</v>
      </c>
      <c r="K10" s="121">
        <v>26306</v>
      </c>
      <c r="L10" s="121">
        <v>87200</v>
      </c>
      <c r="M10" s="121">
        <v>25224</v>
      </c>
      <c r="N10" s="121">
        <v>31678</v>
      </c>
      <c r="O10" s="121">
        <v>29238</v>
      </c>
      <c r="P10" s="121">
        <v>86140</v>
      </c>
      <c r="Q10" s="121">
        <v>33249</v>
      </c>
      <c r="R10" s="121">
        <v>27678</v>
      </c>
      <c r="S10" s="162">
        <v>21337</v>
      </c>
      <c r="T10" s="121">
        <v>82264</v>
      </c>
      <c r="U10" s="121">
        <v>345411</v>
      </c>
    </row>
    <row r="11" spans="1:21" ht="16.2" x14ac:dyDescent="0.45">
      <c r="A11" s="103"/>
      <c r="B11" s="115"/>
      <c r="C11" s="211" t="s">
        <v>65</v>
      </c>
      <c r="D11" s="225"/>
      <c r="E11" s="124">
        <v>21192</v>
      </c>
      <c r="F11" s="124">
        <v>20914</v>
      </c>
      <c r="G11" s="124">
        <v>21766</v>
      </c>
      <c r="H11" s="124">
        <v>63872</v>
      </c>
      <c r="I11" s="124">
        <v>20517</v>
      </c>
      <c r="J11" s="124">
        <v>22061</v>
      </c>
      <c r="K11" s="124">
        <v>19851</v>
      </c>
      <c r="L11" s="124">
        <v>62429</v>
      </c>
      <c r="M11" s="124">
        <v>17195</v>
      </c>
      <c r="N11" s="124">
        <v>22191</v>
      </c>
      <c r="O11" s="124">
        <v>19538</v>
      </c>
      <c r="P11" s="124">
        <v>58924</v>
      </c>
      <c r="Q11" s="124">
        <v>23135</v>
      </c>
      <c r="R11" s="124">
        <v>20440</v>
      </c>
      <c r="S11" s="163">
        <v>14827</v>
      </c>
      <c r="T11" s="124">
        <v>58402</v>
      </c>
      <c r="U11" s="124">
        <v>243627</v>
      </c>
    </row>
    <row r="12" spans="1:21" ht="16.2" x14ac:dyDescent="0.45">
      <c r="A12" s="103"/>
      <c r="B12" s="115"/>
      <c r="C12" s="571" t="s">
        <v>164</v>
      </c>
      <c r="D12" s="186"/>
      <c r="E12" s="127">
        <v>78403</v>
      </c>
      <c r="F12" s="127">
        <v>90583</v>
      </c>
      <c r="G12" s="127">
        <v>89702</v>
      </c>
      <c r="H12" s="127">
        <v>258688</v>
      </c>
      <c r="I12" s="127">
        <v>88706</v>
      </c>
      <c r="J12" s="127">
        <v>93181</v>
      </c>
      <c r="K12" s="127">
        <v>81029</v>
      </c>
      <c r="L12" s="127">
        <v>262916</v>
      </c>
      <c r="M12" s="127">
        <v>71186</v>
      </c>
      <c r="N12" s="127">
        <v>93777</v>
      </c>
      <c r="O12" s="127">
        <v>84790</v>
      </c>
      <c r="P12" s="127">
        <v>249753</v>
      </c>
      <c r="Q12" s="127">
        <v>98069</v>
      </c>
      <c r="R12" s="127">
        <v>81773</v>
      </c>
      <c r="S12" s="164">
        <v>53550</v>
      </c>
      <c r="T12" s="127">
        <v>233392</v>
      </c>
      <c r="U12" s="127">
        <v>1004749</v>
      </c>
    </row>
    <row r="13" spans="1:21" ht="16.2" x14ac:dyDescent="0.45">
      <c r="A13" s="103"/>
      <c r="B13" s="115"/>
      <c r="C13" s="222" t="s">
        <v>67</v>
      </c>
      <c r="D13" s="223"/>
      <c r="E13" s="129">
        <v>38407</v>
      </c>
      <c r="F13" s="129">
        <v>35277</v>
      </c>
      <c r="G13" s="129">
        <v>34320</v>
      </c>
      <c r="H13" s="129">
        <v>108004</v>
      </c>
      <c r="I13" s="129">
        <v>35817</v>
      </c>
      <c r="J13" s="129">
        <v>36798</v>
      </c>
      <c r="K13" s="129">
        <v>34197</v>
      </c>
      <c r="L13" s="129">
        <v>106812</v>
      </c>
      <c r="M13" s="129">
        <v>29851</v>
      </c>
      <c r="N13" s="129">
        <v>35799</v>
      </c>
      <c r="O13" s="129">
        <v>35734</v>
      </c>
      <c r="P13" s="129">
        <v>101384</v>
      </c>
      <c r="Q13" s="129">
        <v>39410</v>
      </c>
      <c r="R13" s="129">
        <v>38060</v>
      </c>
      <c r="S13" s="226">
        <v>26880</v>
      </c>
      <c r="T13" s="129">
        <v>104350</v>
      </c>
      <c r="U13" s="129">
        <v>420550</v>
      </c>
    </row>
    <row r="14" spans="1:21" ht="16.2" x14ac:dyDescent="0.45">
      <c r="A14" s="103"/>
      <c r="B14" s="115"/>
      <c r="C14" s="211" t="s">
        <v>69</v>
      </c>
      <c r="D14" s="225"/>
      <c r="E14" s="227">
        <v>18664</v>
      </c>
      <c r="F14" s="227">
        <v>16548</v>
      </c>
      <c r="G14" s="227">
        <v>14759</v>
      </c>
      <c r="H14" s="227">
        <v>49971</v>
      </c>
      <c r="I14" s="227">
        <v>13652</v>
      </c>
      <c r="J14" s="227">
        <v>17829</v>
      </c>
      <c r="K14" s="227">
        <v>16234</v>
      </c>
      <c r="L14" s="227">
        <v>47715</v>
      </c>
      <c r="M14" s="227">
        <v>19454</v>
      </c>
      <c r="N14" s="227">
        <v>14283</v>
      </c>
      <c r="O14" s="227">
        <v>16500</v>
      </c>
      <c r="P14" s="227">
        <v>50237</v>
      </c>
      <c r="Q14" s="227">
        <v>18880</v>
      </c>
      <c r="R14" s="227">
        <v>17328</v>
      </c>
      <c r="S14" s="228">
        <v>10600</v>
      </c>
      <c r="T14" s="227">
        <v>46808</v>
      </c>
      <c r="U14" s="227">
        <v>194731</v>
      </c>
    </row>
    <row r="15" spans="1:21" ht="16.2" x14ac:dyDescent="0.45">
      <c r="A15" s="103"/>
      <c r="B15" s="112" t="s">
        <v>71</v>
      </c>
      <c r="C15" s="113"/>
      <c r="D15" s="187"/>
      <c r="E15" s="114">
        <v>5867</v>
      </c>
      <c r="F15" s="114">
        <v>6073</v>
      </c>
      <c r="G15" s="114">
        <v>6102</v>
      </c>
      <c r="H15" s="114">
        <v>18042</v>
      </c>
      <c r="I15" s="114">
        <v>6671</v>
      </c>
      <c r="J15" s="114">
        <v>7940</v>
      </c>
      <c r="K15" s="114">
        <v>9484</v>
      </c>
      <c r="L15" s="114">
        <v>24095</v>
      </c>
      <c r="M15" s="114">
        <v>5971</v>
      </c>
      <c r="N15" s="114">
        <v>9206</v>
      </c>
      <c r="O15" s="114">
        <v>8756</v>
      </c>
      <c r="P15" s="114">
        <v>23933</v>
      </c>
      <c r="Q15" s="114">
        <v>9284</v>
      </c>
      <c r="R15" s="114">
        <v>9045</v>
      </c>
      <c r="S15" s="160">
        <v>7410</v>
      </c>
      <c r="T15" s="114">
        <v>25739</v>
      </c>
      <c r="U15" s="114">
        <v>91809</v>
      </c>
    </row>
    <row r="16" spans="1:21" ht="16.2" x14ac:dyDescent="0.45">
      <c r="A16" s="103"/>
      <c r="B16" s="115"/>
      <c r="C16" s="222" t="s">
        <v>73</v>
      </c>
      <c r="D16" s="223"/>
      <c r="E16" s="129">
        <v>5867</v>
      </c>
      <c r="F16" s="129">
        <v>6073</v>
      </c>
      <c r="G16" s="129">
        <v>6102</v>
      </c>
      <c r="H16" s="129">
        <v>18042</v>
      </c>
      <c r="I16" s="129">
        <v>6671</v>
      </c>
      <c r="J16" s="129">
        <v>7940</v>
      </c>
      <c r="K16" s="129">
        <v>9484</v>
      </c>
      <c r="L16" s="129">
        <v>24095</v>
      </c>
      <c r="M16" s="129">
        <v>5971</v>
      </c>
      <c r="N16" s="129">
        <v>9206</v>
      </c>
      <c r="O16" s="129">
        <v>8756</v>
      </c>
      <c r="P16" s="129">
        <v>23933</v>
      </c>
      <c r="Q16" s="129">
        <v>9284</v>
      </c>
      <c r="R16" s="129">
        <v>9045</v>
      </c>
      <c r="S16" s="226">
        <v>7410</v>
      </c>
      <c r="T16" s="129">
        <v>25739</v>
      </c>
      <c r="U16" s="129">
        <v>91809</v>
      </c>
    </row>
    <row r="17" spans="1:21" ht="16.2" x14ac:dyDescent="0.45">
      <c r="A17" s="103"/>
      <c r="B17" s="112" t="s">
        <v>75</v>
      </c>
      <c r="C17" s="113"/>
      <c r="D17" s="187"/>
      <c r="E17" s="114">
        <v>53324</v>
      </c>
      <c r="F17" s="114">
        <v>48977</v>
      </c>
      <c r="G17" s="114">
        <v>50150</v>
      </c>
      <c r="H17" s="114">
        <v>152451</v>
      </c>
      <c r="I17" s="114">
        <v>33549</v>
      </c>
      <c r="J17" s="114">
        <v>38267</v>
      </c>
      <c r="K17" s="114">
        <v>35301</v>
      </c>
      <c r="L17" s="114">
        <v>107117</v>
      </c>
      <c r="M17" s="114">
        <v>37745</v>
      </c>
      <c r="N17" s="114">
        <v>41375</v>
      </c>
      <c r="O17" s="114">
        <v>40871</v>
      </c>
      <c r="P17" s="114">
        <v>119991</v>
      </c>
      <c r="Q17" s="114">
        <v>46424</v>
      </c>
      <c r="R17" s="114">
        <v>39532</v>
      </c>
      <c r="S17" s="160">
        <v>40036</v>
      </c>
      <c r="T17" s="114">
        <v>125992</v>
      </c>
      <c r="U17" s="114">
        <v>505551</v>
      </c>
    </row>
    <row r="18" spans="1:21" ht="16.2" x14ac:dyDescent="0.45">
      <c r="A18" s="103"/>
      <c r="B18" s="115"/>
      <c r="C18" s="222" t="s">
        <v>77</v>
      </c>
      <c r="D18" s="223"/>
      <c r="E18" s="118">
        <v>14464</v>
      </c>
      <c r="F18" s="118">
        <v>11743</v>
      </c>
      <c r="G18" s="118">
        <v>12422</v>
      </c>
      <c r="H18" s="118">
        <v>38629</v>
      </c>
      <c r="I18" s="118">
        <v>6969</v>
      </c>
      <c r="J18" s="118">
        <v>8006</v>
      </c>
      <c r="K18" s="118">
        <v>7590</v>
      </c>
      <c r="L18" s="118">
        <v>22565</v>
      </c>
      <c r="M18" s="118">
        <v>8457</v>
      </c>
      <c r="N18" s="118">
        <v>9255</v>
      </c>
      <c r="O18" s="118">
        <v>10300</v>
      </c>
      <c r="P18" s="118">
        <v>28012</v>
      </c>
      <c r="Q18" s="118">
        <v>10336</v>
      </c>
      <c r="R18" s="118">
        <v>9969</v>
      </c>
      <c r="S18" s="161">
        <v>9162</v>
      </c>
      <c r="T18" s="118">
        <v>29467</v>
      </c>
      <c r="U18" s="118">
        <v>118673</v>
      </c>
    </row>
    <row r="19" spans="1:21" ht="16.2" x14ac:dyDescent="0.45">
      <c r="A19" s="103"/>
      <c r="B19" s="115"/>
      <c r="C19" s="119" t="s">
        <v>79</v>
      </c>
      <c r="D19" s="224"/>
      <c r="E19" s="121">
        <v>9885</v>
      </c>
      <c r="F19" s="121">
        <v>9187</v>
      </c>
      <c r="G19" s="121">
        <v>8477</v>
      </c>
      <c r="H19" s="121">
        <v>27549</v>
      </c>
      <c r="I19" s="121">
        <v>6388</v>
      </c>
      <c r="J19" s="121">
        <v>8599</v>
      </c>
      <c r="K19" s="121">
        <v>8009</v>
      </c>
      <c r="L19" s="121">
        <v>22996</v>
      </c>
      <c r="M19" s="121">
        <v>10260</v>
      </c>
      <c r="N19" s="121">
        <v>9793</v>
      </c>
      <c r="O19" s="121">
        <v>9361</v>
      </c>
      <c r="P19" s="121">
        <v>29414</v>
      </c>
      <c r="Q19" s="121">
        <v>11585</v>
      </c>
      <c r="R19" s="121">
        <v>9904</v>
      </c>
      <c r="S19" s="162">
        <v>9626</v>
      </c>
      <c r="T19" s="121">
        <v>31115</v>
      </c>
      <c r="U19" s="121">
        <v>111074</v>
      </c>
    </row>
    <row r="20" spans="1:21" ht="16.2" x14ac:dyDescent="0.45">
      <c r="A20" s="103"/>
      <c r="B20" s="115"/>
      <c r="C20" s="119" t="s">
        <v>81</v>
      </c>
      <c r="D20" s="224"/>
      <c r="E20" s="121">
        <v>9419</v>
      </c>
      <c r="F20" s="121">
        <v>7758</v>
      </c>
      <c r="G20" s="121">
        <v>8094</v>
      </c>
      <c r="H20" s="121">
        <v>25271</v>
      </c>
      <c r="I20" s="121">
        <v>6466</v>
      </c>
      <c r="J20" s="121">
        <v>9094</v>
      </c>
      <c r="K20" s="121">
        <v>7161</v>
      </c>
      <c r="L20" s="121">
        <v>22721</v>
      </c>
      <c r="M20" s="121">
        <v>7027</v>
      </c>
      <c r="N20" s="121">
        <v>7586</v>
      </c>
      <c r="O20" s="121">
        <v>6161</v>
      </c>
      <c r="P20" s="121">
        <v>20774</v>
      </c>
      <c r="Q20" s="121">
        <v>7372</v>
      </c>
      <c r="R20" s="121">
        <v>6871</v>
      </c>
      <c r="S20" s="162">
        <v>6848</v>
      </c>
      <c r="T20" s="121">
        <v>21091</v>
      </c>
      <c r="U20" s="121">
        <v>89857</v>
      </c>
    </row>
    <row r="21" spans="1:21" ht="16.2" x14ac:dyDescent="0.45">
      <c r="A21" s="103"/>
      <c r="B21" s="115"/>
      <c r="C21" s="119" t="s">
        <v>83</v>
      </c>
      <c r="D21" s="224"/>
      <c r="E21" s="121">
        <v>1032</v>
      </c>
      <c r="F21" s="121">
        <v>674</v>
      </c>
      <c r="G21" s="121">
        <v>947</v>
      </c>
      <c r="H21" s="121">
        <v>2653</v>
      </c>
      <c r="I21" s="121">
        <v>1074</v>
      </c>
      <c r="J21" s="121">
        <v>1191</v>
      </c>
      <c r="K21" s="121">
        <v>950</v>
      </c>
      <c r="L21" s="121">
        <v>3215</v>
      </c>
      <c r="M21" s="121">
        <v>1228</v>
      </c>
      <c r="N21" s="121">
        <v>1386</v>
      </c>
      <c r="O21" s="121">
        <v>1232</v>
      </c>
      <c r="P21" s="121">
        <v>3846</v>
      </c>
      <c r="Q21" s="121">
        <v>1445</v>
      </c>
      <c r="R21" s="121">
        <v>1351</v>
      </c>
      <c r="S21" s="162">
        <v>1326</v>
      </c>
      <c r="T21" s="121">
        <v>4122</v>
      </c>
      <c r="U21" s="121">
        <v>13836</v>
      </c>
    </row>
    <row r="22" spans="1:21" ht="16.2" x14ac:dyDescent="0.45">
      <c r="A22" s="103"/>
      <c r="B22" s="115"/>
      <c r="C22" s="119" t="s">
        <v>85</v>
      </c>
      <c r="D22" s="224"/>
      <c r="E22" s="121">
        <v>3157</v>
      </c>
      <c r="F22" s="121">
        <v>2090</v>
      </c>
      <c r="G22" s="121">
        <v>2525</v>
      </c>
      <c r="H22" s="121">
        <v>7772</v>
      </c>
      <c r="I22" s="121">
        <v>2277</v>
      </c>
      <c r="J22" s="121">
        <v>2647</v>
      </c>
      <c r="K22" s="121">
        <v>2216</v>
      </c>
      <c r="L22" s="121">
        <v>7140</v>
      </c>
      <c r="M22" s="121">
        <v>1668</v>
      </c>
      <c r="N22" s="121">
        <v>1685</v>
      </c>
      <c r="O22" s="121">
        <v>1847</v>
      </c>
      <c r="P22" s="121">
        <v>5200</v>
      </c>
      <c r="Q22" s="121">
        <v>1699</v>
      </c>
      <c r="R22" s="121">
        <v>2297</v>
      </c>
      <c r="S22" s="162">
        <v>2494</v>
      </c>
      <c r="T22" s="121">
        <v>6490</v>
      </c>
      <c r="U22" s="121">
        <v>26602</v>
      </c>
    </row>
    <row r="23" spans="1:21" ht="16.2" x14ac:dyDescent="0.45">
      <c r="A23" s="103"/>
      <c r="B23" s="115"/>
      <c r="C23" s="119" t="s">
        <v>87</v>
      </c>
      <c r="D23" s="224"/>
      <c r="E23" s="121">
        <v>1460</v>
      </c>
      <c r="F23" s="121">
        <v>1535</v>
      </c>
      <c r="G23" s="121">
        <v>1444</v>
      </c>
      <c r="H23" s="121">
        <v>4439</v>
      </c>
      <c r="I23" s="121">
        <v>1225</v>
      </c>
      <c r="J23" s="121">
        <v>1200</v>
      </c>
      <c r="K23" s="121">
        <v>915</v>
      </c>
      <c r="L23" s="121">
        <v>3340</v>
      </c>
      <c r="M23" s="121">
        <v>1035</v>
      </c>
      <c r="N23" s="121">
        <v>1080</v>
      </c>
      <c r="O23" s="121">
        <v>1200</v>
      </c>
      <c r="P23" s="121">
        <v>3315</v>
      </c>
      <c r="Q23" s="121">
        <v>1363</v>
      </c>
      <c r="R23" s="121">
        <v>1334</v>
      </c>
      <c r="S23" s="162">
        <v>1460</v>
      </c>
      <c r="T23" s="121">
        <v>4157</v>
      </c>
      <c r="U23" s="121">
        <v>15251</v>
      </c>
    </row>
    <row r="24" spans="1:21" ht="16.2" x14ac:dyDescent="0.45">
      <c r="A24" s="103"/>
      <c r="B24" s="115"/>
      <c r="C24" s="211" t="s">
        <v>89</v>
      </c>
      <c r="D24" s="225"/>
      <c r="E24" s="124">
        <v>13907</v>
      </c>
      <c r="F24" s="124">
        <v>15990</v>
      </c>
      <c r="G24" s="124">
        <v>16241</v>
      </c>
      <c r="H24" s="124">
        <v>46138</v>
      </c>
      <c r="I24" s="124">
        <v>9150</v>
      </c>
      <c r="J24" s="124">
        <v>7530</v>
      </c>
      <c r="K24" s="124">
        <v>8460</v>
      </c>
      <c r="L24" s="124">
        <v>25140</v>
      </c>
      <c r="M24" s="124">
        <v>8070</v>
      </c>
      <c r="N24" s="124">
        <v>10590</v>
      </c>
      <c r="O24" s="124">
        <v>10770</v>
      </c>
      <c r="P24" s="124">
        <v>29430</v>
      </c>
      <c r="Q24" s="124">
        <v>12624</v>
      </c>
      <c r="R24" s="124">
        <v>7806</v>
      </c>
      <c r="S24" s="163">
        <v>9120</v>
      </c>
      <c r="T24" s="124">
        <v>29550</v>
      </c>
      <c r="U24" s="124">
        <v>130258</v>
      </c>
    </row>
    <row r="25" spans="1:21" ht="16.2" x14ac:dyDescent="0.45">
      <c r="A25" s="103"/>
      <c r="B25" s="112" t="s">
        <v>91</v>
      </c>
      <c r="C25" s="113"/>
      <c r="D25" s="187"/>
      <c r="E25" s="114">
        <v>85949</v>
      </c>
      <c r="F25" s="114">
        <v>46209</v>
      </c>
      <c r="G25" s="114">
        <v>84654</v>
      </c>
      <c r="H25" s="114">
        <v>216812</v>
      </c>
      <c r="I25" s="114">
        <v>81076</v>
      </c>
      <c r="J25" s="114">
        <v>57772</v>
      </c>
      <c r="K25" s="114">
        <v>57140</v>
      </c>
      <c r="L25" s="114">
        <v>195988</v>
      </c>
      <c r="M25" s="114">
        <v>72753</v>
      </c>
      <c r="N25" s="114">
        <v>62151</v>
      </c>
      <c r="O25" s="114">
        <v>50425</v>
      </c>
      <c r="P25" s="114">
        <v>185329</v>
      </c>
      <c r="Q25" s="114">
        <v>61490</v>
      </c>
      <c r="R25" s="114">
        <v>80384</v>
      </c>
      <c r="S25" s="160">
        <v>76594</v>
      </c>
      <c r="T25" s="114">
        <v>218468</v>
      </c>
      <c r="U25" s="114">
        <v>816597</v>
      </c>
    </row>
    <row r="26" spans="1:21" ht="16.2" x14ac:dyDescent="0.45">
      <c r="A26" s="103"/>
      <c r="B26" s="115"/>
      <c r="C26" s="222" t="s">
        <v>95</v>
      </c>
      <c r="D26" s="223"/>
      <c r="E26" s="129">
        <v>28020</v>
      </c>
      <c r="F26" s="129">
        <v>17400</v>
      </c>
      <c r="G26" s="129">
        <v>33560</v>
      </c>
      <c r="H26" s="129">
        <v>78980</v>
      </c>
      <c r="I26" s="129">
        <v>36440</v>
      </c>
      <c r="J26" s="129">
        <v>32700</v>
      </c>
      <c r="K26" s="129">
        <v>33740</v>
      </c>
      <c r="L26" s="129">
        <v>102880</v>
      </c>
      <c r="M26" s="129">
        <v>41089</v>
      </c>
      <c r="N26" s="129">
        <v>33611</v>
      </c>
      <c r="O26" s="129">
        <v>31000</v>
      </c>
      <c r="P26" s="129">
        <v>105700</v>
      </c>
      <c r="Q26" s="129">
        <v>35660</v>
      </c>
      <c r="R26" s="129">
        <v>44685</v>
      </c>
      <c r="S26" s="226">
        <v>42895</v>
      </c>
      <c r="T26" s="129">
        <v>123240</v>
      </c>
      <c r="U26" s="129">
        <v>410800</v>
      </c>
    </row>
    <row r="27" spans="1:21" ht="16.2" x14ac:dyDescent="0.45">
      <c r="A27" s="103"/>
      <c r="B27" s="115"/>
      <c r="C27" s="211" t="s">
        <v>97</v>
      </c>
      <c r="D27" s="225"/>
      <c r="E27" s="229">
        <v>57929</v>
      </c>
      <c r="F27" s="229">
        <v>28809</v>
      </c>
      <c r="G27" s="229">
        <v>51094</v>
      </c>
      <c r="H27" s="229">
        <v>137832</v>
      </c>
      <c r="I27" s="229">
        <v>44636</v>
      </c>
      <c r="J27" s="229">
        <v>25072</v>
      </c>
      <c r="K27" s="229">
        <v>23400</v>
      </c>
      <c r="L27" s="229">
        <v>93108</v>
      </c>
      <c r="M27" s="229">
        <v>31664</v>
      </c>
      <c r="N27" s="229">
        <v>28540</v>
      </c>
      <c r="O27" s="229">
        <v>19425</v>
      </c>
      <c r="P27" s="229">
        <v>79629</v>
      </c>
      <c r="Q27" s="229">
        <v>25830</v>
      </c>
      <c r="R27" s="229">
        <v>35699</v>
      </c>
      <c r="S27" s="230">
        <v>33699</v>
      </c>
      <c r="T27" s="229">
        <v>95228</v>
      </c>
      <c r="U27" s="229">
        <v>405797</v>
      </c>
    </row>
    <row r="28" spans="1:21" ht="16.2" x14ac:dyDescent="0.45">
      <c r="A28" s="103"/>
      <c r="B28" s="112" t="s">
        <v>93</v>
      </c>
      <c r="C28" s="113"/>
      <c r="D28" s="187"/>
      <c r="E28" s="114">
        <v>36</v>
      </c>
      <c r="F28" s="114">
        <v>33</v>
      </c>
      <c r="G28" s="114">
        <v>35</v>
      </c>
      <c r="H28" s="114">
        <v>104</v>
      </c>
      <c r="I28" s="114">
        <v>14</v>
      </c>
      <c r="J28" s="114">
        <v>15</v>
      </c>
      <c r="K28" s="114">
        <v>31</v>
      </c>
      <c r="L28" s="114">
        <v>60</v>
      </c>
      <c r="M28" s="114">
        <v>10</v>
      </c>
      <c r="N28" s="114">
        <v>11</v>
      </c>
      <c r="O28" s="114">
        <v>62</v>
      </c>
      <c r="P28" s="114">
        <v>83</v>
      </c>
      <c r="Q28" s="114">
        <v>9</v>
      </c>
      <c r="R28" s="114">
        <v>6</v>
      </c>
      <c r="S28" s="160">
        <v>5</v>
      </c>
      <c r="T28" s="114">
        <v>20</v>
      </c>
      <c r="U28" s="114">
        <v>267</v>
      </c>
    </row>
    <row r="29" spans="1:21" ht="16.2" x14ac:dyDescent="0.45">
      <c r="A29" s="103"/>
      <c r="B29" s="115"/>
      <c r="C29" s="222" t="s">
        <v>99</v>
      </c>
      <c r="D29" s="223"/>
      <c r="E29" s="129">
        <v>30</v>
      </c>
      <c r="F29" s="129">
        <v>29</v>
      </c>
      <c r="G29" s="129">
        <v>32</v>
      </c>
      <c r="H29" s="129">
        <v>91</v>
      </c>
      <c r="I29" s="129">
        <v>5</v>
      </c>
      <c r="J29" s="129">
        <v>9</v>
      </c>
      <c r="K29" s="129">
        <v>25</v>
      </c>
      <c r="L29" s="129">
        <v>39</v>
      </c>
      <c r="M29" s="129">
        <v>5</v>
      </c>
      <c r="N29" s="129">
        <v>1</v>
      </c>
      <c r="O29" s="129">
        <v>50</v>
      </c>
      <c r="P29" s="129">
        <v>56</v>
      </c>
      <c r="Q29" s="129">
        <v>0</v>
      </c>
      <c r="R29" s="129">
        <v>0</v>
      </c>
      <c r="S29" s="226">
        <v>0</v>
      </c>
      <c r="T29" s="129">
        <v>0</v>
      </c>
      <c r="U29" s="129">
        <v>186</v>
      </c>
    </row>
    <row r="30" spans="1:21" ht="16.2" x14ac:dyDescent="0.45">
      <c r="A30" s="103"/>
      <c r="B30" s="165"/>
      <c r="C30" s="211" t="s">
        <v>101</v>
      </c>
      <c r="D30" s="225"/>
      <c r="E30" s="227">
        <v>6</v>
      </c>
      <c r="F30" s="227">
        <v>4</v>
      </c>
      <c r="G30" s="227">
        <v>3</v>
      </c>
      <c r="H30" s="227">
        <v>13</v>
      </c>
      <c r="I30" s="227">
        <v>9</v>
      </c>
      <c r="J30" s="227">
        <v>6</v>
      </c>
      <c r="K30" s="227">
        <v>6</v>
      </c>
      <c r="L30" s="227">
        <v>21</v>
      </c>
      <c r="M30" s="227">
        <v>5</v>
      </c>
      <c r="N30" s="227">
        <v>10</v>
      </c>
      <c r="O30" s="227">
        <v>12</v>
      </c>
      <c r="P30" s="227">
        <v>27</v>
      </c>
      <c r="Q30" s="227">
        <v>9</v>
      </c>
      <c r="R30" s="227">
        <v>6</v>
      </c>
      <c r="S30" s="228">
        <v>5</v>
      </c>
      <c r="T30" s="227">
        <v>20</v>
      </c>
      <c r="U30" s="227">
        <v>81</v>
      </c>
    </row>
    <row r="31" spans="1:21" ht="7.05" customHeight="1" thickBot="1" x14ac:dyDescent="0.5">
      <c r="A31" s="103"/>
      <c r="B31" s="208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5"/>
    </row>
    <row r="32" spans="1:21" ht="16.8" thickBot="1" x14ac:dyDescent="0.5">
      <c r="A32" s="103"/>
      <c r="B32" s="209" t="s">
        <v>57</v>
      </c>
      <c r="C32" s="210"/>
      <c r="D32" s="210"/>
      <c r="E32" s="132">
        <v>337119</v>
      </c>
      <c r="F32" s="132">
        <v>294710</v>
      </c>
      <c r="G32" s="132">
        <v>341092</v>
      </c>
      <c r="H32" s="132">
        <v>972921</v>
      </c>
      <c r="I32" s="132">
        <v>316681</v>
      </c>
      <c r="J32" s="132">
        <v>302927</v>
      </c>
      <c r="K32" s="132">
        <v>289453</v>
      </c>
      <c r="L32" s="132">
        <v>909061</v>
      </c>
      <c r="M32" s="132">
        <v>298649</v>
      </c>
      <c r="N32" s="132">
        <v>307033</v>
      </c>
      <c r="O32" s="132">
        <v>298845</v>
      </c>
      <c r="P32" s="132">
        <v>904527</v>
      </c>
      <c r="Q32" s="132">
        <v>339638</v>
      </c>
      <c r="R32" s="132">
        <v>329978</v>
      </c>
      <c r="S32" s="132">
        <v>271388</v>
      </c>
      <c r="T32" s="132">
        <v>941004</v>
      </c>
      <c r="U32" s="290">
        <v>3727513</v>
      </c>
    </row>
    <row r="33" spans="1:21" x14ac:dyDescent="0.45">
      <c r="A33" s="103"/>
      <c r="B33" s="104"/>
      <c r="C33" s="104"/>
      <c r="D33" s="104"/>
      <c r="E33" s="104"/>
      <c r="F33" s="104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</row>
    <row r="34" spans="1:21" ht="16.2" x14ac:dyDescent="0.45">
      <c r="A34" s="103"/>
      <c r="B34" s="359" t="s">
        <v>106</v>
      </c>
      <c r="C34" s="104"/>
      <c r="D34" s="104"/>
      <c r="E34" s="104"/>
      <c r="F34" s="104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</row>
    <row r="35" spans="1:21" ht="16.2" x14ac:dyDescent="0.45">
      <c r="A35" s="103"/>
      <c r="B35" s="116"/>
      <c r="C35" s="152"/>
      <c r="D35" s="152"/>
      <c r="E35" s="153">
        <v>2025</v>
      </c>
      <c r="F35" s="154"/>
      <c r="G35" s="154"/>
      <c r="H35" s="154"/>
      <c r="I35" s="154"/>
      <c r="J35" s="154"/>
      <c r="K35" s="154"/>
      <c r="L35" s="154"/>
      <c r="M35" s="155"/>
      <c r="N35" s="154"/>
      <c r="O35" s="154"/>
      <c r="P35" s="154"/>
      <c r="Q35" s="154"/>
      <c r="R35" s="154"/>
      <c r="S35" s="154"/>
      <c r="T35" s="168"/>
      <c r="U35" s="156"/>
    </row>
    <row r="36" spans="1:21" ht="16.05" customHeight="1" x14ac:dyDescent="0.45">
      <c r="A36" s="103"/>
      <c r="B36" s="122"/>
      <c r="C36" s="157"/>
      <c r="D36" s="157"/>
      <c r="E36" s="287"/>
      <c r="F36" s="288"/>
      <c r="G36" s="288"/>
      <c r="H36" s="593" t="s">
        <v>169</v>
      </c>
      <c r="I36" s="285"/>
      <c r="J36" s="285"/>
      <c r="K36" s="285"/>
      <c r="L36" s="593" t="s">
        <v>170</v>
      </c>
      <c r="M36" s="286"/>
      <c r="N36" s="285"/>
      <c r="O36" s="285"/>
      <c r="P36" s="593" t="s">
        <v>171</v>
      </c>
      <c r="Q36" s="285"/>
      <c r="R36" s="285"/>
      <c r="S36" s="285"/>
      <c r="T36" s="593" t="s">
        <v>172</v>
      </c>
      <c r="U36" s="355">
        <f>E35</f>
        <v>2025</v>
      </c>
    </row>
    <row r="37" spans="1:21" ht="16.2" x14ac:dyDescent="0.45">
      <c r="A37" s="103"/>
      <c r="B37" s="122"/>
      <c r="C37" s="157"/>
      <c r="D37" s="157"/>
      <c r="E37" s="354" t="str">
        <f>E6</f>
        <v>1月/Jan.</v>
      </c>
      <c r="F37" s="354" t="str">
        <f>F6</f>
        <v>2月/Feb.</v>
      </c>
      <c r="G37" s="354" t="str">
        <f>G6</f>
        <v>3月/Mar.</v>
      </c>
      <c r="H37" s="594"/>
      <c r="I37" s="354" t="str">
        <f>I6</f>
        <v>4月/Apr.</v>
      </c>
      <c r="J37" s="354" t="str">
        <f>J6</f>
        <v>5月/May</v>
      </c>
      <c r="K37" s="354" t="str">
        <f>K6</f>
        <v>6月/Jun.</v>
      </c>
      <c r="L37" s="594"/>
      <c r="M37" s="354" t="str">
        <f>M6</f>
        <v>7月/Jul.</v>
      </c>
      <c r="N37" s="354" t="str">
        <f>N6</f>
        <v>8月/Aug.</v>
      </c>
      <c r="O37" s="354" t="str">
        <f>O6</f>
        <v>9月/Sep.</v>
      </c>
      <c r="P37" s="594"/>
      <c r="Q37" s="354" t="str">
        <f>Q6</f>
        <v>10月/Oct.</v>
      </c>
      <c r="R37" s="354" t="str">
        <f>R6</f>
        <v>11月/Nov.</v>
      </c>
      <c r="S37" s="354" t="str">
        <f>S6</f>
        <v>12月/Dec.</v>
      </c>
      <c r="T37" s="594"/>
      <c r="U37" s="356" t="s">
        <v>39</v>
      </c>
    </row>
    <row r="38" spans="1:21" ht="16.2" x14ac:dyDescent="0.45">
      <c r="A38" s="103"/>
      <c r="B38" s="112" t="s">
        <v>56</v>
      </c>
      <c r="C38" s="113"/>
      <c r="D38" s="113"/>
      <c r="E38" s="232">
        <v>44857</v>
      </c>
      <c r="F38" s="232">
        <v>62172</v>
      </c>
      <c r="G38" s="232">
        <v>61154</v>
      </c>
      <c r="H38" s="233">
        <v>168183</v>
      </c>
      <c r="I38" s="232">
        <v>47806</v>
      </c>
      <c r="J38" s="232">
        <v>49348</v>
      </c>
      <c r="K38" s="232">
        <v>60804</v>
      </c>
      <c r="L38" s="233">
        <v>157958</v>
      </c>
      <c r="M38" s="232">
        <v>67804</v>
      </c>
      <c r="N38" s="232">
        <v>44586</v>
      </c>
      <c r="O38" s="232">
        <v>65587</v>
      </c>
      <c r="P38" s="233">
        <v>177977</v>
      </c>
      <c r="Q38" s="232">
        <v>63662</v>
      </c>
      <c r="R38" s="232">
        <v>0</v>
      </c>
      <c r="S38" s="234">
        <v>0</v>
      </c>
      <c r="T38" s="233">
        <v>63662</v>
      </c>
      <c r="U38" s="232">
        <v>567780</v>
      </c>
    </row>
    <row r="39" spans="1:21" ht="16.2" x14ac:dyDescent="0.45">
      <c r="A39" s="103"/>
      <c r="B39" s="112" t="s">
        <v>59</v>
      </c>
      <c r="C39" s="113"/>
      <c r="D39" s="113"/>
      <c r="E39" s="232">
        <v>120466</v>
      </c>
      <c r="F39" s="232">
        <v>135099</v>
      </c>
      <c r="G39" s="232">
        <v>149509</v>
      </c>
      <c r="H39" s="232">
        <v>405074</v>
      </c>
      <c r="I39" s="232">
        <v>144993</v>
      </c>
      <c r="J39" s="232">
        <v>143319</v>
      </c>
      <c r="K39" s="232">
        <v>124350</v>
      </c>
      <c r="L39" s="232">
        <v>412662</v>
      </c>
      <c r="M39" s="232">
        <v>118601</v>
      </c>
      <c r="N39" s="232">
        <v>136559</v>
      </c>
      <c r="O39" s="232">
        <v>142364</v>
      </c>
      <c r="P39" s="232">
        <v>397524</v>
      </c>
      <c r="Q39" s="232">
        <v>134454</v>
      </c>
      <c r="R39" s="232">
        <v>0</v>
      </c>
      <c r="S39" s="234">
        <v>0</v>
      </c>
      <c r="T39" s="232">
        <v>134454</v>
      </c>
      <c r="U39" s="232">
        <v>1349714</v>
      </c>
    </row>
    <row r="40" spans="1:21" ht="16.2" x14ac:dyDescent="0.45">
      <c r="A40" s="103"/>
      <c r="B40" s="115"/>
      <c r="C40" s="222" t="s">
        <v>61</v>
      </c>
      <c r="D40" s="128"/>
      <c r="E40" s="235">
        <v>12564</v>
      </c>
      <c r="F40" s="235">
        <v>33528</v>
      </c>
      <c r="G40" s="235">
        <v>40568</v>
      </c>
      <c r="H40" s="235">
        <v>86660</v>
      </c>
      <c r="I40" s="235">
        <v>39509</v>
      </c>
      <c r="J40" s="235">
        <v>36749</v>
      </c>
      <c r="K40" s="235">
        <v>21391</v>
      </c>
      <c r="L40" s="235">
        <v>97649</v>
      </c>
      <c r="M40" s="236">
        <v>21439</v>
      </c>
      <c r="N40" s="236">
        <v>35051</v>
      </c>
      <c r="O40" s="236">
        <v>32887</v>
      </c>
      <c r="P40" s="236">
        <v>89377</v>
      </c>
      <c r="Q40" s="236">
        <v>35949</v>
      </c>
      <c r="R40" s="236">
        <v>0</v>
      </c>
      <c r="S40" s="237">
        <v>0</v>
      </c>
      <c r="T40" s="236">
        <v>35949</v>
      </c>
      <c r="U40" s="236">
        <v>309635</v>
      </c>
    </row>
    <row r="41" spans="1:21" ht="16.2" x14ac:dyDescent="0.45">
      <c r="A41" s="103"/>
      <c r="B41" s="115"/>
      <c r="C41" s="119" t="s">
        <v>63</v>
      </c>
      <c r="D41" s="120"/>
      <c r="E41" s="238">
        <v>29522</v>
      </c>
      <c r="F41" s="238">
        <v>29045</v>
      </c>
      <c r="G41" s="238">
        <v>31065</v>
      </c>
      <c r="H41" s="238">
        <v>89632</v>
      </c>
      <c r="I41" s="238">
        <v>30638</v>
      </c>
      <c r="J41" s="238">
        <v>31712</v>
      </c>
      <c r="K41" s="238">
        <v>29046</v>
      </c>
      <c r="L41" s="238">
        <v>91396</v>
      </c>
      <c r="M41" s="238">
        <v>27290</v>
      </c>
      <c r="N41" s="238">
        <v>31327</v>
      </c>
      <c r="O41" s="238">
        <v>31415</v>
      </c>
      <c r="P41" s="238">
        <v>90032</v>
      </c>
      <c r="Q41" s="238">
        <v>26550</v>
      </c>
      <c r="R41" s="238">
        <v>0</v>
      </c>
      <c r="S41" s="239">
        <v>0</v>
      </c>
      <c r="T41" s="238">
        <v>26550</v>
      </c>
      <c r="U41" s="238">
        <v>297610</v>
      </c>
    </row>
    <row r="42" spans="1:21" ht="16.2" x14ac:dyDescent="0.45">
      <c r="A42" s="103"/>
      <c r="B42" s="115"/>
      <c r="C42" s="211" t="s">
        <v>65</v>
      </c>
      <c r="D42" s="231"/>
      <c r="E42" s="240">
        <v>22116</v>
      </c>
      <c r="F42" s="240">
        <v>22637</v>
      </c>
      <c r="G42" s="240">
        <v>21650</v>
      </c>
      <c r="H42" s="240">
        <v>66403</v>
      </c>
      <c r="I42" s="240">
        <v>21705</v>
      </c>
      <c r="J42" s="240">
        <v>20735</v>
      </c>
      <c r="K42" s="240">
        <v>20818</v>
      </c>
      <c r="L42" s="240">
        <v>63258</v>
      </c>
      <c r="M42" s="241">
        <v>18607</v>
      </c>
      <c r="N42" s="241">
        <v>21678</v>
      </c>
      <c r="O42" s="241">
        <v>20626</v>
      </c>
      <c r="P42" s="241">
        <v>60911</v>
      </c>
      <c r="Q42" s="241">
        <v>21323</v>
      </c>
      <c r="R42" s="241">
        <v>0</v>
      </c>
      <c r="S42" s="242">
        <v>0</v>
      </c>
      <c r="T42" s="241">
        <v>21323</v>
      </c>
      <c r="U42" s="241">
        <v>211895</v>
      </c>
    </row>
    <row r="43" spans="1:21" ht="16.2" x14ac:dyDescent="0.45">
      <c r="A43" s="103"/>
      <c r="B43" s="115"/>
      <c r="C43" s="571" t="s">
        <v>164</v>
      </c>
      <c r="D43" s="126"/>
      <c r="E43" s="243">
        <v>64202</v>
      </c>
      <c r="F43" s="243">
        <v>85210</v>
      </c>
      <c r="G43" s="243">
        <v>93283</v>
      </c>
      <c r="H43" s="243">
        <v>242695</v>
      </c>
      <c r="I43" s="243">
        <v>91852</v>
      </c>
      <c r="J43" s="243">
        <v>89196</v>
      </c>
      <c r="K43" s="243">
        <v>71255</v>
      </c>
      <c r="L43" s="243">
        <v>252303</v>
      </c>
      <c r="M43" s="243">
        <v>67336</v>
      </c>
      <c r="N43" s="243">
        <v>88056</v>
      </c>
      <c r="O43" s="243">
        <v>84928</v>
      </c>
      <c r="P43" s="243">
        <v>240320</v>
      </c>
      <c r="Q43" s="243">
        <v>83822</v>
      </c>
      <c r="R43" s="243">
        <v>0</v>
      </c>
      <c r="S43" s="244">
        <v>0</v>
      </c>
      <c r="T43" s="243">
        <v>83822</v>
      </c>
      <c r="U43" s="243">
        <v>819140</v>
      </c>
    </row>
    <row r="44" spans="1:21" ht="16.2" x14ac:dyDescent="0.45">
      <c r="A44" s="103"/>
      <c r="B44" s="115"/>
      <c r="C44" s="222" t="s">
        <v>67</v>
      </c>
      <c r="D44" s="128"/>
      <c r="E44" s="235">
        <v>39533</v>
      </c>
      <c r="F44" s="235">
        <v>33818</v>
      </c>
      <c r="G44" s="235">
        <v>39519</v>
      </c>
      <c r="H44" s="235">
        <v>112870</v>
      </c>
      <c r="I44" s="235">
        <v>35712</v>
      </c>
      <c r="J44" s="235">
        <v>35761</v>
      </c>
      <c r="K44" s="235">
        <v>34733</v>
      </c>
      <c r="L44" s="235">
        <v>106206</v>
      </c>
      <c r="M44" s="235">
        <v>31412</v>
      </c>
      <c r="N44" s="235">
        <v>33013</v>
      </c>
      <c r="O44" s="235">
        <v>38839</v>
      </c>
      <c r="P44" s="235">
        <v>103264</v>
      </c>
      <c r="Q44" s="235">
        <v>33902</v>
      </c>
      <c r="R44" s="235">
        <v>0</v>
      </c>
      <c r="S44" s="245">
        <v>0</v>
      </c>
      <c r="T44" s="235">
        <v>33902</v>
      </c>
      <c r="U44" s="235">
        <v>356242</v>
      </c>
    </row>
    <row r="45" spans="1:21" ht="16.2" x14ac:dyDescent="0.45">
      <c r="A45" s="103"/>
      <c r="B45" s="115"/>
      <c r="C45" s="211" t="s">
        <v>69</v>
      </c>
      <c r="D45" s="231"/>
      <c r="E45" s="240">
        <v>16731</v>
      </c>
      <c r="F45" s="240">
        <v>16071</v>
      </c>
      <c r="G45" s="240">
        <v>16707</v>
      </c>
      <c r="H45" s="240">
        <v>49509</v>
      </c>
      <c r="I45" s="240">
        <v>17429</v>
      </c>
      <c r="J45" s="240">
        <v>18362</v>
      </c>
      <c r="K45" s="240">
        <v>18362</v>
      </c>
      <c r="L45" s="240">
        <v>54153</v>
      </c>
      <c r="M45" s="240">
        <v>19853</v>
      </c>
      <c r="N45" s="240">
        <v>15490</v>
      </c>
      <c r="O45" s="240">
        <v>18597</v>
      </c>
      <c r="P45" s="240">
        <v>53940</v>
      </c>
      <c r="Q45" s="240">
        <v>16730</v>
      </c>
      <c r="R45" s="240">
        <v>0</v>
      </c>
      <c r="S45" s="246">
        <v>0</v>
      </c>
      <c r="T45" s="240">
        <v>16730</v>
      </c>
      <c r="U45" s="240">
        <v>174332</v>
      </c>
    </row>
    <row r="46" spans="1:21" ht="16.2" x14ac:dyDescent="0.45">
      <c r="A46" s="103"/>
      <c r="B46" s="112" t="s">
        <v>71</v>
      </c>
      <c r="C46" s="113"/>
      <c r="D46" s="113"/>
      <c r="E46" s="232">
        <v>8726</v>
      </c>
      <c r="F46" s="232">
        <v>9390</v>
      </c>
      <c r="G46" s="232">
        <v>6951</v>
      </c>
      <c r="H46" s="232">
        <v>25067</v>
      </c>
      <c r="I46" s="232">
        <v>8007</v>
      </c>
      <c r="J46" s="232">
        <v>9588</v>
      </c>
      <c r="K46" s="232">
        <v>5666</v>
      </c>
      <c r="L46" s="232">
        <v>23261</v>
      </c>
      <c r="M46" s="232">
        <v>6170</v>
      </c>
      <c r="N46" s="232">
        <v>8964</v>
      </c>
      <c r="O46" s="232">
        <v>9704</v>
      </c>
      <c r="P46" s="232">
        <v>24838</v>
      </c>
      <c r="Q46" s="232">
        <v>12381</v>
      </c>
      <c r="R46" s="232">
        <v>0</v>
      </c>
      <c r="S46" s="234">
        <v>0</v>
      </c>
      <c r="T46" s="232">
        <v>12381</v>
      </c>
      <c r="U46" s="232">
        <v>85547</v>
      </c>
    </row>
    <row r="47" spans="1:21" ht="16.2" x14ac:dyDescent="0.45">
      <c r="A47" s="103"/>
      <c r="B47" s="115"/>
      <c r="C47" s="222" t="s">
        <v>73</v>
      </c>
      <c r="D47" s="128"/>
      <c r="E47" s="235">
        <v>8726</v>
      </c>
      <c r="F47" s="235">
        <v>9390</v>
      </c>
      <c r="G47" s="235">
        <v>6951</v>
      </c>
      <c r="H47" s="235">
        <v>25067</v>
      </c>
      <c r="I47" s="235">
        <v>8007</v>
      </c>
      <c r="J47" s="235">
        <v>9588</v>
      </c>
      <c r="K47" s="235">
        <v>5666</v>
      </c>
      <c r="L47" s="235">
        <v>23261</v>
      </c>
      <c r="M47" s="235">
        <v>6170</v>
      </c>
      <c r="N47" s="235">
        <v>8964</v>
      </c>
      <c r="O47" s="235">
        <v>9704</v>
      </c>
      <c r="P47" s="235">
        <v>24838</v>
      </c>
      <c r="Q47" s="235">
        <v>12381</v>
      </c>
      <c r="R47" s="235">
        <v>0</v>
      </c>
      <c r="S47" s="245">
        <v>0</v>
      </c>
      <c r="T47" s="235">
        <v>12381</v>
      </c>
      <c r="U47" s="235">
        <v>85547</v>
      </c>
    </row>
    <row r="48" spans="1:21" ht="16.2" x14ac:dyDescent="0.45">
      <c r="A48" s="103"/>
      <c r="B48" s="112" t="s">
        <v>75</v>
      </c>
      <c r="C48" s="113"/>
      <c r="D48" s="113"/>
      <c r="E48" s="232">
        <v>42209</v>
      </c>
      <c r="F48" s="232">
        <v>41674</v>
      </c>
      <c r="G48" s="232">
        <v>38901</v>
      </c>
      <c r="H48" s="232">
        <v>122784</v>
      </c>
      <c r="I48" s="232">
        <v>31071</v>
      </c>
      <c r="J48" s="232">
        <v>35752</v>
      </c>
      <c r="K48" s="232">
        <v>37179</v>
      </c>
      <c r="L48" s="232">
        <v>104002</v>
      </c>
      <c r="M48" s="232">
        <v>29100</v>
      </c>
      <c r="N48" s="232">
        <v>26876</v>
      </c>
      <c r="O48" s="232">
        <v>29209</v>
      </c>
      <c r="P48" s="232">
        <v>85185</v>
      </c>
      <c r="Q48" s="232">
        <v>32909</v>
      </c>
      <c r="R48" s="232">
        <v>0</v>
      </c>
      <c r="S48" s="234">
        <v>0</v>
      </c>
      <c r="T48" s="232">
        <v>32909</v>
      </c>
      <c r="U48" s="232">
        <v>344880</v>
      </c>
    </row>
    <row r="49" spans="1:21" ht="16.2" x14ac:dyDescent="0.45">
      <c r="A49" s="103"/>
      <c r="B49" s="115"/>
      <c r="C49" s="222" t="s">
        <v>77</v>
      </c>
      <c r="D49" s="128"/>
      <c r="E49" s="235">
        <v>10075</v>
      </c>
      <c r="F49" s="235">
        <v>10664</v>
      </c>
      <c r="G49" s="235">
        <v>11430</v>
      </c>
      <c r="H49" s="235">
        <v>32169</v>
      </c>
      <c r="I49" s="235">
        <v>11814</v>
      </c>
      <c r="J49" s="235">
        <v>14425</v>
      </c>
      <c r="K49" s="235">
        <v>14309</v>
      </c>
      <c r="L49" s="235">
        <v>40548</v>
      </c>
      <c r="M49" s="235">
        <v>3725</v>
      </c>
      <c r="N49" s="235">
        <v>4385</v>
      </c>
      <c r="O49" s="235">
        <v>4438</v>
      </c>
      <c r="P49" s="235">
        <v>12548</v>
      </c>
      <c r="Q49" s="235">
        <v>8900</v>
      </c>
      <c r="R49" s="235">
        <v>0</v>
      </c>
      <c r="S49" s="245">
        <v>0</v>
      </c>
      <c r="T49" s="235">
        <v>8900</v>
      </c>
      <c r="U49" s="235">
        <v>94165</v>
      </c>
    </row>
    <row r="50" spans="1:21" ht="16.2" x14ac:dyDescent="0.45">
      <c r="A50" s="103"/>
      <c r="B50" s="115"/>
      <c r="C50" s="119" t="s">
        <v>79</v>
      </c>
      <c r="D50" s="120"/>
      <c r="E50" s="238">
        <v>7845</v>
      </c>
      <c r="F50" s="238">
        <v>7837</v>
      </c>
      <c r="G50" s="238">
        <v>6951</v>
      </c>
      <c r="H50" s="238">
        <v>22633</v>
      </c>
      <c r="I50" s="238">
        <v>3958</v>
      </c>
      <c r="J50" s="238">
        <v>5530</v>
      </c>
      <c r="K50" s="238">
        <v>6774</v>
      </c>
      <c r="L50" s="238">
        <v>16262</v>
      </c>
      <c r="M50" s="238">
        <v>6370</v>
      </c>
      <c r="N50" s="238">
        <v>4947</v>
      </c>
      <c r="O50" s="238">
        <v>4170</v>
      </c>
      <c r="P50" s="238">
        <v>15487</v>
      </c>
      <c r="Q50" s="238">
        <v>4547</v>
      </c>
      <c r="R50" s="238">
        <v>0</v>
      </c>
      <c r="S50" s="239">
        <v>0</v>
      </c>
      <c r="T50" s="238">
        <v>4547</v>
      </c>
      <c r="U50" s="238">
        <v>58929</v>
      </c>
    </row>
    <row r="51" spans="1:21" ht="16.2" x14ac:dyDescent="0.45">
      <c r="A51" s="103"/>
      <c r="B51" s="115"/>
      <c r="C51" s="119" t="s">
        <v>81</v>
      </c>
      <c r="D51" s="120"/>
      <c r="E51" s="238">
        <v>5693</v>
      </c>
      <c r="F51" s="238">
        <v>6094</v>
      </c>
      <c r="G51" s="238">
        <v>6009</v>
      </c>
      <c r="H51" s="238">
        <v>17796</v>
      </c>
      <c r="I51" s="238">
        <v>6127</v>
      </c>
      <c r="J51" s="238">
        <v>5788</v>
      </c>
      <c r="K51" s="238">
        <v>5578</v>
      </c>
      <c r="L51" s="238">
        <v>17493</v>
      </c>
      <c r="M51" s="238">
        <v>5678</v>
      </c>
      <c r="N51" s="238">
        <v>5085</v>
      </c>
      <c r="O51" s="238">
        <v>5928</v>
      </c>
      <c r="P51" s="238">
        <v>16691</v>
      </c>
      <c r="Q51" s="238">
        <v>7101</v>
      </c>
      <c r="R51" s="238">
        <v>0</v>
      </c>
      <c r="S51" s="239">
        <v>0</v>
      </c>
      <c r="T51" s="238">
        <v>7101</v>
      </c>
      <c r="U51" s="238">
        <v>59081</v>
      </c>
    </row>
    <row r="52" spans="1:21" ht="16.2" x14ac:dyDescent="0.45">
      <c r="A52" s="103"/>
      <c r="B52" s="115"/>
      <c r="C52" s="119" t="s">
        <v>83</v>
      </c>
      <c r="D52" s="120"/>
      <c r="E52" s="238">
        <v>980</v>
      </c>
      <c r="F52" s="238">
        <v>1042</v>
      </c>
      <c r="G52" s="238">
        <v>1091</v>
      </c>
      <c r="H52" s="238">
        <v>3113</v>
      </c>
      <c r="I52" s="238">
        <v>1265</v>
      </c>
      <c r="J52" s="238">
        <v>1347</v>
      </c>
      <c r="K52" s="238">
        <v>1270</v>
      </c>
      <c r="L52" s="238">
        <v>3882</v>
      </c>
      <c r="M52" s="238">
        <v>1101</v>
      </c>
      <c r="N52" s="238">
        <v>1174</v>
      </c>
      <c r="O52" s="238">
        <v>1145</v>
      </c>
      <c r="P52" s="238">
        <v>3420</v>
      </c>
      <c r="Q52" s="238">
        <v>1253</v>
      </c>
      <c r="R52" s="238">
        <v>0</v>
      </c>
      <c r="S52" s="239">
        <v>0</v>
      </c>
      <c r="T52" s="238">
        <v>1253</v>
      </c>
      <c r="U52" s="238">
        <v>11668</v>
      </c>
    </row>
    <row r="53" spans="1:21" ht="16.2" x14ac:dyDescent="0.45">
      <c r="A53" s="103"/>
      <c r="B53" s="115"/>
      <c r="C53" s="119" t="s">
        <v>85</v>
      </c>
      <c r="D53" s="120"/>
      <c r="E53" s="238">
        <v>2072</v>
      </c>
      <c r="F53" s="238">
        <v>1664</v>
      </c>
      <c r="G53" s="238">
        <v>1554</v>
      </c>
      <c r="H53" s="238">
        <v>5290</v>
      </c>
      <c r="I53" s="238">
        <v>1620</v>
      </c>
      <c r="J53" s="238">
        <v>1620</v>
      </c>
      <c r="K53" s="238">
        <v>1740</v>
      </c>
      <c r="L53" s="238">
        <v>4980</v>
      </c>
      <c r="M53" s="238">
        <v>2037</v>
      </c>
      <c r="N53" s="238">
        <v>1684</v>
      </c>
      <c r="O53" s="238">
        <v>1499</v>
      </c>
      <c r="P53" s="238">
        <v>5220</v>
      </c>
      <c r="Q53" s="238">
        <v>2160</v>
      </c>
      <c r="R53" s="238">
        <v>0</v>
      </c>
      <c r="S53" s="239">
        <v>0</v>
      </c>
      <c r="T53" s="238">
        <v>2160</v>
      </c>
      <c r="U53" s="238">
        <v>17650</v>
      </c>
    </row>
    <row r="54" spans="1:21" ht="16.2" x14ac:dyDescent="0.45">
      <c r="A54" s="103"/>
      <c r="B54" s="115"/>
      <c r="C54" s="119" t="s">
        <v>87</v>
      </c>
      <c r="D54" s="120"/>
      <c r="E54" s="238">
        <v>1829</v>
      </c>
      <c r="F54" s="238">
        <v>1838</v>
      </c>
      <c r="G54" s="238">
        <v>1066</v>
      </c>
      <c r="H54" s="238">
        <v>4733</v>
      </c>
      <c r="I54" s="238">
        <v>1667</v>
      </c>
      <c r="J54" s="238">
        <v>2332</v>
      </c>
      <c r="K54" s="238">
        <v>1538</v>
      </c>
      <c r="L54" s="238">
        <v>5537</v>
      </c>
      <c r="M54" s="238">
        <v>1826</v>
      </c>
      <c r="N54" s="238">
        <v>1771</v>
      </c>
      <c r="O54" s="238">
        <v>2219</v>
      </c>
      <c r="P54" s="238">
        <v>5816</v>
      </c>
      <c r="Q54" s="238">
        <v>2648</v>
      </c>
      <c r="R54" s="238">
        <v>0</v>
      </c>
      <c r="S54" s="239">
        <v>0</v>
      </c>
      <c r="T54" s="238">
        <v>2648</v>
      </c>
      <c r="U54" s="238">
        <v>18734</v>
      </c>
    </row>
    <row r="55" spans="1:21" ht="16.2" x14ac:dyDescent="0.45">
      <c r="A55" s="103"/>
      <c r="B55" s="115"/>
      <c r="C55" s="211" t="s">
        <v>89</v>
      </c>
      <c r="D55" s="231"/>
      <c r="E55" s="240">
        <v>13715</v>
      </c>
      <c r="F55" s="240">
        <v>12535</v>
      </c>
      <c r="G55" s="240">
        <v>10800</v>
      </c>
      <c r="H55" s="240">
        <v>37050</v>
      </c>
      <c r="I55" s="240">
        <v>4620</v>
      </c>
      <c r="J55" s="240">
        <v>4710</v>
      </c>
      <c r="K55" s="240">
        <v>5970</v>
      </c>
      <c r="L55" s="240">
        <v>15300</v>
      </c>
      <c r="M55" s="240">
        <v>8363</v>
      </c>
      <c r="N55" s="240">
        <v>7830</v>
      </c>
      <c r="O55" s="240">
        <v>9810</v>
      </c>
      <c r="P55" s="240">
        <v>26003</v>
      </c>
      <c r="Q55" s="240">
        <v>6300</v>
      </c>
      <c r="R55" s="240">
        <v>0</v>
      </c>
      <c r="S55" s="246">
        <v>0</v>
      </c>
      <c r="T55" s="240">
        <v>6300</v>
      </c>
      <c r="U55" s="240">
        <v>84653</v>
      </c>
    </row>
    <row r="56" spans="1:21" ht="16.2" x14ac:dyDescent="0.45">
      <c r="A56" s="103"/>
      <c r="B56" s="112" t="s">
        <v>91</v>
      </c>
      <c r="C56" s="113"/>
      <c r="D56" s="113"/>
      <c r="E56" s="232">
        <v>52364</v>
      </c>
      <c r="F56" s="232">
        <v>35869</v>
      </c>
      <c r="G56" s="232">
        <v>72600</v>
      </c>
      <c r="H56" s="232">
        <v>160833</v>
      </c>
      <c r="I56" s="232">
        <v>47195</v>
      </c>
      <c r="J56" s="232">
        <v>49477</v>
      </c>
      <c r="K56" s="232">
        <v>59752</v>
      </c>
      <c r="L56" s="232">
        <v>156424</v>
      </c>
      <c r="M56" s="232">
        <v>55941</v>
      </c>
      <c r="N56" s="232">
        <v>50011</v>
      </c>
      <c r="O56" s="232">
        <v>63366</v>
      </c>
      <c r="P56" s="232">
        <v>169318</v>
      </c>
      <c r="Q56" s="232">
        <v>59229</v>
      </c>
      <c r="R56" s="232">
        <v>0</v>
      </c>
      <c r="S56" s="234">
        <v>0</v>
      </c>
      <c r="T56" s="232">
        <v>59229</v>
      </c>
      <c r="U56" s="232">
        <v>545804</v>
      </c>
    </row>
    <row r="57" spans="1:21" ht="16.2" x14ac:dyDescent="0.45">
      <c r="A57" s="103"/>
      <c r="B57" s="115"/>
      <c r="C57" s="222" t="s">
        <v>95</v>
      </c>
      <c r="D57" s="128"/>
      <c r="E57" s="235">
        <v>26815</v>
      </c>
      <c r="F57" s="235">
        <v>20710</v>
      </c>
      <c r="G57" s="235">
        <v>43670</v>
      </c>
      <c r="H57" s="235">
        <v>91195</v>
      </c>
      <c r="I57" s="235">
        <v>20350</v>
      </c>
      <c r="J57" s="235">
        <v>22720</v>
      </c>
      <c r="K57" s="235">
        <v>32793</v>
      </c>
      <c r="L57" s="235">
        <v>75863</v>
      </c>
      <c r="M57" s="235">
        <v>26303</v>
      </c>
      <c r="N57" s="235">
        <v>22330</v>
      </c>
      <c r="O57" s="235">
        <v>33352</v>
      </c>
      <c r="P57" s="235">
        <v>81985</v>
      </c>
      <c r="Q57" s="235">
        <v>31092</v>
      </c>
      <c r="R57" s="235">
        <v>0</v>
      </c>
      <c r="S57" s="245">
        <v>0</v>
      </c>
      <c r="T57" s="235">
        <v>31092</v>
      </c>
      <c r="U57" s="235">
        <v>280135</v>
      </c>
    </row>
    <row r="58" spans="1:21" ht="16.2" x14ac:dyDescent="0.45">
      <c r="A58" s="103"/>
      <c r="B58" s="115"/>
      <c r="C58" s="211" t="s">
        <v>97</v>
      </c>
      <c r="D58" s="231"/>
      <c r="E58" s="247">
        <v>25549</v>
      </c>
      <c r="F58" s="247">
        <v>15159</v>
      </c>
      <c r="G58" s="247">
        <v>28930</v>
      </c>
      <c r="H58" s="247">
        <v>69638</v>
      </c>
      <c r="I58" s="247">
        <v>26845</v>
      </c>
      <c r="J58" s="247">
        <v>26757</v>
      </c>
      <c r="K58" s="247">
        <v>26959</v>
      </c>
      <c r="L58" s="247">
        <v>80561</v>
      </c>
      <c r="M58" s="247">
        <v>29638</v>
      </c>
      <c r="N58" s="247">
        <v>27681</v>
      </c>
      <c r="O58" s="247">
        <v>30014</v>
      </c>
      <c r="P58" s="247">
        <v>87333</v>
      </c>
      <c r="Q58" s="247">
        <v>28137</v>
      </c>
      <c r="R58" s="247">
        <v>0</v>
      </c>
      <c r="S58" s="248">
        <v>0</v>
      </c>
      <c r="T58" s="247">
        <v>28137</v>
      </c>
      <c r="U58" s="247">
        <v>265669</v>
      </c>
    </row>
    <row r="59" spans="1:21" ht="16.2" x14ac:dyDescent="0.45">
      <c r="A59" s="103"/>
      <c r="B59" s="112" t="s">
        <v>93</v>
      </c>
      <c r="C59" s="113"/>
      <c r="D59" s="113"/>
      <c r="E59" s="232">
        <v>6</v>
      </c>
      <c r="F59" s="232">
        <v>28</v>
      </c>
      <c r="G59" s="232">
        <v>31</v>
      </c>
      <c r="H59" s="232">
        <v>65</v>
      </c>
      <c r="I59" s="232">
        <v>22</v>
      </c>
      <c r="J59" s="232">
        <v>14</v>
      </c>
      <c r="K59" s="232">
        <v>32</v>
      </c>
      <c r="L59" s="232">
        <v>68</v>
      </c>
      <c r="M59" s="232">
        <v>21</v>
      </c>
      <c r="N59" s="232">
        <v>9</v>
      </c>
      <c r="O59" s="232">
        <v>45</v>
      </c>
      <c r="P59" s="232">
        <v>75</v>
      </c>
      <c r="Q59" s="232">
        <v>36</v>
      </c>
      <c r="R59" s="232">
        <v>0</v>
      </c>
      <c r="S59" s="234">
        <v>0</v>
      </c>
      <c r="T59" s="232">
        <v>36</v>
      </c>
      <c r="U59" s="232">
        <v>244</v>
      </c>
    </row>
    <row r="60" spans="1:21" ht="16.2" x14ac:dyDescent="0.45">
      <c r="A60" s="103"/>
      <c r="B60" s="115"/>
      <c r="C60" s="222" t="s">
        <v>99</v>
      </c>
      <c r="D60" s="128"/>
      <c r="E60" s="129">
        <v>0</v>
      </c>
      <c r="F60" s="235">
        <v>22</v>
      </c>
      <c r="G60" s="235">
        <v>27</v>
      </c>
      <c r="H60" s="129">
        <v>49</v>
      </c>
      <c r="I60" s="235">
        <v>13</v>
      </c>
      <c r="J60" s="235">
        <v>14</v>
      </c>
      <c r="K60" s="235">
        <v>23</v>
      </c>
      <c r="L60" s="235">
        <v>50</v>
      </c>
      <c r="M60" s="235">
        <v>12</v>
      </c>
      <c r="N60" s="274">
        <v>0</v>
      </c>
      <c r="O60" s="235">
        <v>30</v>
      </c>
      <c r="P60" s="235">
        <v>42</v>
      </c>
      <c r="Q60" s="235">
        <v>27</v>
      </c>
      <c r="R60" s="235">
        <v>0</v>
      </c>
      <c r="S60" s="235">
        <v>0</v>
      </c>
      <c r="T60" s="235">
        <v>27</v>
      </c>
      <c r="U60" s="129">
        <v>168</v>
      </c>
    </row>
    <row r="61" spans="1:21" ht="16.2" x14ac:dyDescent="0.45">
      <c r="A61" s="103"/>
      <c r="B61" s="165"/>
      <c r="C61" s="211" t="s">
        <v>101</v>
      </c>
      <c r="D61" s="231"/>
      <c r="E61" s="240">
        <v>6</v>
      </c>
      <c r="F61" s="240">
        <v>6</v>
      </c>
      <c r="G61" s="240">
        <v>4</v>
      </c>
      <c r="H61" s="240">
        <v>16</v>
      </c>
      <c r="I61" s="240">
        <v>9</v>
      </c>
      <c r="J61" s="586">
        <v>0</v>
      </c>
      <c r="K61" s="240">
        <v>9</v>
      </c>
      <c r="L61" s="240">
        <v>18</v>
      </c>
      <c r="M61" s="240">
        <v>9</v>
      </c>
      <c r="N61" s="240">
        <v>9</v>
      </c>
      <c r="O61" s="240">
        <v>15</v>
      </c>
      <c r="P61" s="240">
        <v>33</v>
      </c>
      <c r="Q61" s="240">
        <v>9</v>
      </c>
      <c r="R61" s="240">
        <v>0</v>
      </c>
      <c r="S61" s="246">
        <v>0</v>
      </c>
      <c r="T61" s="240">
        <v>9</v>
      </c>
      <c r="U61" s="240">
        <v>76</v>
      </c>
    </row>
    <row r="62" spans="1:21" ht="7.05" customHeight="1" thickBot="1" x14ac:dyDescent="0.5">
      <c r="A62" s="103"/>
      <c r="B62" s="130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9"/>
    </row>
    <row r="63" spans="1:21" ht="16.05" customHeight="1" thickBot="1" x14ac:dyDescent="0.5">
      <c r="A63" s="103"/>
      <c r="B63" s="590" t="s">
        <v>57</v>
      </c>
      <c r="C63" s="591"/>
      <c r="D63" s="592"/>
      <c r="E63" s="251">
        <v>268628</v>
      </c>
      <c r="F63" s="251">
        <v>284232</v>
      </c>
      <c r="G63" s="251">
        <v>329146</v>
      </c>
      <c r="H63" s="251">
        <v>882006</v>
      </c>
      <c r="I63" s="251">
        <v>279094</v>
      </c>
      <c r="J63" s="251">
        <v>287498</v>
      </c>
      <c r="K63" s="251">
        <v>287783</v>
      </c>
      <c r="L63" s="251">
        <v>854375</v>
      </c>
      <c r="M63" s="251">
        <v>277637</v>
      </c>
      <c r="N63" s="251">
        <v>267005</v>
      </c>
      <c r="O63" s="251">
        <v>310275</v>
      </c>
      <c r="P63" s="251">
        <v>854917</v>
      </c>
      <c r="Q63" s="251">
        <v>302671</v>
      </c>
      <c r="R63" s="251">
        <v>0</v>
      </c>
      <c r="S63" s="252">
        <v>0</v>
      </c>
      <c r="T63" s="251">
        <v>302671</v>
      </c>
      <c r="U63" s="253">
        <v>2893969</v>
      </c>
    </row>
    <row r="64" spans="1:21" x14ac:dyDescent="0.45">
      <c r="A64" s="103"/>
      <c r="B64" s="104"/>
      <c r="C64" s="104"/>
      <c r="D64" s="104"/>
      <c r="E64" s="104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</row>
    <row r="65" spans="1:21" ht="16.2" x14ac:dyDescent="0.45">
      <c r="A65" s="103"/>
      <c r="B65" s="357" t="s">
        <v>0</v>
      </c>
      <c r="C65" s="104"/>
      <c r="D65" s="104"/>
      <c r="E65" s="104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</row>
    <row r="66" spans="1:21" ht="16.2" x14ac:dyDescent="0.45">
      <c r="A66" s="103"/>
      <c r="B66" s="116"/>
      <c r="C66" s="152"/>
      <c r="D66" s="152"/>
      <c r="E66" s="539" t="s">
        <v>45</v>
      </c>
      <c r="F66" s="540"/>
      <c r="G66" s="540"/>
      <c r="H66" s="540"/>
      <c r="I66" s="540"/>
      <c r="J66" s="540"/>
      <c r="K66" s="540"/>
      <c r="L66" s="540"/>
      <c r="M66" s="541"/>
      <c r="N66" s="540"/>
      <c r="O66" s="540"/>
      <c r="P66" s="540"/>
      <c r="Q66" s="540"/>
      <c r="R66" s="540"/>
      <c r="S66" s="542"/>
      <c r="T66" s="540"/>
      <c r="U66" s="542"/>
    </row>
    <row r="67" spans="1:21" ht="16.2" x14ac:dyDescent="0.45">
      <c r="B67" s="122"/>
      <c r="C67" s="157"/>
      <c r="D67" s="157"/>
      <c r="E67" s="543"/>
      <c r="F67" s="544"/>
      <c r="G67" s="544"/>
      <c r="H67" s="595" t="s">
        <v>40</v>
      </c>
      <c r="I67" s="540"/>
      <c r="J67" s="540"/>
      <c r="K67" s="540"/>
      <c r="L67" s="595" t="s">
        <v>41</v>
      </c>
      <c r="M67" s="541"/>
      <c r="N67" s="540"/>
      <c r="O67" s="540"/>
      <c r="P67" s="595" t="s">
        <v>42</v>
      </c>
      <c r="Q67" s="540"/>
      <c r="R67" s="540"/>
      <c r="S67" s="540"/>
      <c r="T67" s="595" t="s">
        <v>43</v>
      </c>
      <c r="U67" s="545"/>
    </row>
    <row r="68" spans="1:21" ht="16.2" x14ac:dyDescent="0.45">
      <c r="B68" s="122"/>
      <c r="C68" s="157"/>
      <c r="D68" s="157"/>
      <c r="E68" s="354" t="str">
        <f>E37</f>
        <v>1月/Jan.</v>
      </c>
      <c r="F68" s="354" t="str">
        <f>F37</f>
        <v>2月/Feb.</v>
      </c>
      <c r="G68" s="354" t="str">
        <f>G37</f>
        <v>3月/Mar.</v>
      </c>
      <c r="H68" s="596"/>
      <c r="I68" s="354" t="str">
        <f>I37</f>
        <v>4月/Apr.</v>
      </c>
      <c r="J68" s="354" t="str">
        <f>J37</f>
        <v>5月/May</v>
      </c>
      <c r="K68" s="354" t="str">
        <f>K37</f>
        <v>6月/Jun.</v>
      </c>
      <c r="L68" s="596"/>
      <c r="M68" s="354" t="str">
        <f>M37</f>
        <v>7月/Jul.</v>
      </c>
      <c r="N68" s="354" t="str">
        <f>N37</f>
        <v>8月/Aug.</v>
      </c>
      <c r="O68" s="354" t="str">
        <f>O37</f>
        <v>9月/Sep.</v>
      </c>
      <c r="P68" s="596"/>
      <c r="Q68" s="354" t="str">
        <f>Q37</f>
        <v>10月/Oct.</v>
      </c>
      <c r="R68" s="354" t="str">
        <f>R37</f>
        <v>11月/Nov.</v>
      </c>
      <c r="S68" s="354" t="str">
        <f>S37</f>
        <v>12月/Dec.</v>
      </c>
      <c r="T68" s="596"/>
      <c r="U68" s="268" t="s">
        <v>39</v>
      </c>
    </row>
    <row r="69" spans="1:21" ht="16.2" x14ac:dyDescent="0.45">
      <c r="B69" s="112" t="s">
        <v>56</v>
      </c>
      <c r="C69" s="113"/>
      <c r="D69" s="113"/>
      <c r="E69" s="419">
        <v>0.79436504985036038</v>
      </c>
      <c r="F69" s="419">
        <v>1.2188198392472065</v>
      </c>
      <c r="G69" s="419">
        <v>0.99648036499918524</v>
      </c>
      <c r="H69" s="428">
        <v>0.99605564735355256</v>
      </c>
      <c r="I69" s="419">
        <v>0.83582768025736065</v>
      </c>
      <c r="J69" s="419">
        <v>0.96524205378973105</v>
      </c>
      <c r="K69" s="419">
        <v>1.0850687938326462</v>
      </c>
      <c r="L69" s="428">
        <v>0.96106061159176914</v>
      </c>
      <c r="M69" s="419">
        <v>1.099304463431638</v>
      </c>
      <c r="N69" s="419">
        <v>0.88409906605064348</v>
      </c>
      <c r="O69" s="419">
        <v>1.0628777934432074</v>
      </c>
      <c r="P69" s="428">
        <v>1.023933217119154</v>
      </c>
      <c r="Q69" s="419">
        <v>0.96352463978689917</v>
      </c>
      <c r="R69" s="419"/>
      <c r="S69" s="577"/>
      <c r="T69" s="428">
        <v>0.34183692646387631</v>
      </c>
      <c r="U69" s="419">
        <v>0.81900126792439765</v>
      </c>
    </row>
    <row r="70" spans="1:21" ht="16.2" x14ac:dyDescent="0.45">
      <c r="B70" s="112" t="s">
        <v>59</v>
      </c>
      <c r="C70" s="113"/>
      <c r="D70" s="113"/>
      <c r="E70" s="419">
        <v>0.88921859545004944</v>
      </c>
      <c r="F70" s="419">
        <v>0.94867563620021345</v>
      </c>
      <c r="G70" s="419">
        <v>1.0773016479201043</v>
      </c>
      <c r="H70" s="419">
        <v>0.97218615523816609</v>
      </c>
      <c r="I70" s="419">
        <v>1.0493432241722453</v>
      </c>
      <c r="J70" s="419">
        <v>0.96962951937648845</v>
      </c>
      <c r="K70" s="419">
        <v>0.94591510725696026</v>
      </c>
      <c r="L70" s="419">
        <v>0.98854693934261684</v>
      </c>
      <c r="M70" s="419">
        <v>0.98431418114215996</v>
      </c>
      <c r="N70" s="419">
        <v>0.94925586859355338</v>
      </c>
      <c r="O70" s="419">
        <v>1.038971275105091</v>
      </c>
      <c r="P70" s="419">
        <v>0.9904079486962285</v>
      </c>
      <c r="Q70" s="419">
        <v>0.85990572976291735</v>
      </c>
      <c r="R70" s="419"/>
      <c r="S70" s="577"/>
      <c r="T70" s="419">
        <v>0.34963983877259136</v>
      </c>
      <c r="U70" s="419">
        <v>0.83314136157972385</v>
      </c>
    </row>
    <row r="71" spans="1:21" ht="16.2" x14ac:dyDescent="0.45">
      <c r="B71" s="115"/>
      <c r="C71" s="222" t="s">
        <v>61</v>
      </c>
      <c r="D71" s="128"/>
      <c r="E71" s="554">
        <v>0.42506258880844444</v>
      </c>
      <c r="F71" s="559">
        <v>0.8848772763262075</v>
      </c>
      <c r="G71" s="559">
        <v>1.0800564415217913</v>
      </c>
      <c r="H71" s="554">
        <v>0.8252625965393442</v>
      </c>
      <c r="I71" s="559">
        <v>1.0473728858491067</v>
      </c>
      <c r="J71" s="559">
        <v>0.90307915366279212</v>
      </c>
      <c r="K71" s="559">
        <v>0.61341477403074096</v>
      </c>
      <c r="L71" s="559">
        <v>0.86196121355495336</v>
      </c>
      <c r="M71" s="554">
        <v>0.74526367017763406</v>
      </c>
      <c r="N71" s="554">
        <v>0.87829507868096623</v>
      </c>
      <c r="O71" s="554">
        <v>0.91317265507858059</v>
      </c>
      <c r="P71" s="554">
        <v>0.85373821509423153</v>
      </c>
      <c r="Q71" s="554">
        <v>0.86239654551997125</v>
      </c>
      <c r="R71" s="554"/>
      <c r="S71" s="578"/>
      <c r="T71" s="554">
        <v>0.38769061536138733</v>
      </c>
      <c r="U71" s="554">
        <v>0.7448323474721622</v>
      </c>
    </row>
    <row r="72" spans="1:21" ht="16.2" x14ac:dyDescent="0.45">
      <c r="B72" s="115"/>
      <c r="C72" s="119" t="s">
        <v>63</v>
      </c>
      <c r="D72" s="120"/>
      <c r="E72" s="555">
        <v>1.0675876035149894</v>
      </c>
      <c r="F72" s="555">
        <v>0.9139683438748859</v>
      </c>
      <c r="G72" s="555">
        <v>1.0227160493827161</v>
      </c>
      <c r="H72" s="555">
        <v>0.99805137684144885</v>
      </c>
      <c r="I72" s="555">
        <v>1.005612630058752</v>
      </c>
      <c r="J72" s="555">
        <v>1.0422322279554344</v>
      </c>
      <c r="K72" s="555">
        <v>1.104158747053904</v>
      </c>
      <c r="L72" s="555">
        <v>1.0481192660550458</v>
      </c>
      <c r="M72" s="555">
        <v>1.0819061211544561</v>
      </c>
      <c r="N72" s="555">
        <v>0.98891975503504004</v>
      </c>
      <c r="O72" s="555">
        <v>1.0744578972569943</v>
      </c>
      <c r="P72" s="555">
        <v>1.0451822614348734</v>
      </c>
      <c r="Q72" s="555">
        <v>0.79852025624830825</v>
      </c>
      <c r="R72" s="555"/>
      <c r="S72" s="579"/>
      <c r="T72" s="555">
        <v>0.32274141787416122</v>
      </c>
      <c r="U72" s="555">
        <v>0.86161123994314015</v>
      </c>
    </row>
    <row r="73" spans="1:21" ht="16.2" x14ac:dyDescent="0.45">
      <c r="B73" s="115"/>
      <c r="C73" s="211" t="s">
        <v>65</v>
      </c>
      <c r="D73" s="231"/>
      <c r="E73" s="556">
        <v>1.0436013590033975</v>
      </c>
      <c r="F73" s="558">
        <v>1.0823850052596347</v>
      </c>
      <c r="G73" s="558">
        <v>0.99467058715427736</v>
      </c>
      <c r="H73" s="556">
        <v>1.0396261272545091</v>
      </c>
      <c r="I73" s="558">
        <v>1.0579032022225472</v>
      </c>
      <c r="J73" s="558">
        <v>0.93989393046552738</v>
      </c>
      <c r="K73" s="558">
        <v>1.0487129111883533</v>
      </c>
      <c r="L73" s="558">
        <v>1.0132790850406062</v>
      </c>
      <c r="M73" s="556">
        <v>1.08211689444606</v>
      </c>
      <c r="N73" s="556">
        <v>0.97688251994051645</v>
      </c>
      <c r="O73" s="556">
        <v>1.0556863547957827</v>
      </c>
      <c r="P73" s="556">
        <v>1.0337214038422375</v>
      </c>
      <c r="Q73" s="556">
        <v>0.92167711259995677</v>
      </c>
      <c r="R73" s="556"/>
      <c r="S73" s="580"/>
      <c r="T73" s="556">
        <v>0.365107359337009</v>
      </c>
      <c r="U73" s="556">
        <v>0.86975171060678824</v>
      </c>
    </row>
    <row r="74" spans="1:21" ht="16.2" x14ac:dyDescent="0.45">
      <c r="B74" s="115"/>
      <c r="C74" s="571" t="s">
        <v>164</v>
      </c>
      <c r="D74" s="126"/>
      <c r="E74" s="557">
        <v>0.81887172684718701</v>
      </c>
      <c r="F74" s="557">
        <v>0.94068423434860848</v>
      </c>
      <c r="G74" s="557">
        <v>1.0399210719939356</v>
      </c>
      <c r="H74" s="557">
        <v>0.93817649059871355</v>
      </c>
      <c r="I74" s="557">
        <v>1.0354654702049466</v>
      </c>
      <c r="J74" s="557">
        <v>0.95723377083310979</v>
      </c>
      <c r="K74" s="557">
        <v>0.87937651951770357</v>
      </c>
      <c r="L74" s="557">
        <v>0.95963349510870388</v>
      </c>
      <c r="M74" s="557">
        <v>0.94591633186300672</v>
      </c>
      <c r="N74" s="557">
        <v>0.93899356985188265</v>
      </c>
      <c r="O74" s="557">
        <v>1.0016275504186813</v>
      </c>
      <c r="P74" s="557">
        <v>0.96223068391570876</v>
      </c>
      <c r="Q74" s="557">
        <v>0.85472473462562071</v>
      </c>
      <c r="R74" s="557"/>
      <c r="S74" s="581"/>
      <c r="T74" s="557">
        <v>0.35914684307945433</v>
      </c>
      <c r="U74" s="557">
        <v>0.81526829088657959</v>
      </c>
    </row>
    <row r="75" spans="1:21" ht="16.2" x14ac:dyDescent="0.45">
      <c r="B75" s="115"/>
      <c r="C75" s="222" t="s">
        <v>67</v>
      </c>
      <c r="D75" s="128"/>
      <c r="E75" s="556">
        <v>1.0293175723175463</v>
      </c>
      <c r="F75" s="559">
        <v>0.95864160784647223</v>
      </c>
      <c r="G75" s="559">
        <v>1.1514860139860139</v>
      </c>
      <c r="H75" s="556">
        <v>1.0450538868930781</v>
      </c>
      <c r="I75" s="559">
        <v>0.99706843119189215</v>
      </c>
      <c r="J75" s="559">
        <v>0.97181912060438069</v>
      </c>
      <c r="K75" s="559">
        <v>1.0156738895224728</v>
      </c>
      <c r="L75" s="559">
        <v>0.9943264801707673</v>
      </c>
      <c r="M75" s="559">
        <v>1.0522930555090282</v>
      </c>
      <c r="N75" s="559">
        <v>0.92217659711165112</v>
      </c>
      <c r="O75" s="559">
        <v>1.0868920355963507</v>
      </c>
      <c r="P75" s="559">
        <v>1.0185433598989979</v>
      </c>
      <c r="Q75" s="559">
        <v>0.86023851814260344</v>
      </c>
      <c r="R75" s="559"/>
      <c r="S75" s="582"/>
      <c r="T75" s="559">
        <v>0.32488739817920459</v>
      </c>
      <c r="U75" s="556">
        <v>0.84708595886339322</v>
      </c>
    </row>
    <row r="76" spans="1:21" ht="16.2" x14ac:dyDescent="0.45">
      <c r="B76" s="115"/>
      <c r="C76" s="211" t="s">
        <v>69</v>
      </c>
      <c r="D76" s="231"/>
      <c r="E76" s="558">
        <v>0.89643163309044149</v>
      </c>
      <c r="F76" s="558">
        <v>0.97117476432197247</v>
      </c>
      <c r="G76" s="558">
        <v>1.1319872620096212</v>
      </c>
      <c r="H76" s="558">
        <v>0.99075463768986016</v>
      </c>
      <c r="I76" s="558">
        <v>1.2766627600351597</v>
      </c>
      <c r="J76" s="558">
        <v>1.0298951147007684</v>
      </c>
      <c r="K76" s="558">
        <v>1.1310829124060613</v>
      </c>
      <c r="L76" s="558">
        <v>1.1349261238604214</v>
      </c>
      <c r="M76" s="558">
        <v>1.0205099208389021</v>
      </c>
      <c r="N76" s="558">
        <v>1.0845060561506685</v>
      </c>
      <c r="O76" s="558">
        <v>1.1270909090909091</v>
      </c>
      <c r="P76" s="558">
        <v>1.0737106117005395</v>
      </c>
      <c r="Q76" s="558">
        <v>0.8861228813559322</v>
      </c>
      <c r="R76" s="558"/>
      <c r="S76" s="583"/>
      <c r="T76" s="558">
        <v>0.35741753546402322</v>
      </c>
      <c r="U76" s="558">
        <v>0.89524523573545045</v>
      </c>
    </row>
    <row r="77" spans="1:21" ht="16.2" x14ac:dyDescent="0.45">
      <c r="B77" s="112" t="s">
        <v>71</v>
      </c>
      <c r="C77" s="113"/>
      <c r="D77" s="113"/>
      <c r="E77" s="419">
        <v>1.4873018578489858</v>
      </c>
      <c r="F77" s="419">
        <v>1.5461880454470607</v>
      </c>
      <c r="G77" s="419">
        <v>1.1391347099311702</v>
      </c>
      <c r="H77" s="419">
        <v>1.389369249528877</v>
      </c>
      <c r="I77" s="419">
        <v>1.2002698246140009</v>
      </c>
      <c r="J77" s="419">
        <v>1.2075566750629723</v>
      </c>
      <c r="K77" s="419">
        <v>0.59742724588781104</v>
      </c>
      <c r="L77" s="419">
        <v>0.9653870097530608</v>
      </c>
      <c r="M77" s="419">
        <v>1.0333277507955116</v>
      </c>
      <c r="N77" s="419">
        <v>0.97371279600260696</v>
      </c>
      <c r="O77" s="419">
        <v>1.1082686158063042</v>
      </c>
      <c r="P77" s="419">
        <v>1.0378138971294866</v>
      </c>
      <c r="Q77" s="419">
        <v>1.3335846617837139</v>
      </c>
      <c r="R77" s="419"/>
      <c r="S77" s="577"/>
      <c r="T77" s="419">
        <v>0.48102101868759473</v>
      </c>
      <c r="U77" s="419">
        <v>0.93179317931793182</v>
      </c>
    </row>
    <row r="78" spans="1:21" ht="16.2" x14ac:dyDescent="0.45">
      <c r="B78" s="115"/>
      <c r="C78" s="222" t="s">
        <v>73</v>
      </c>
      <c r="D78" s="128"/>
      <c r="E78" s="554">
        <v>1.4873018578489858</v>
      </c>
      <c r="F78" s="559">
        <v>1.5461880454470607</v>
      </c>
      <c r="G78" s="559">
        <v>1.1391347099311702</v>
      </c>
      <c r="H78" s="554">
        <v>1.389369249528877</v>
      </c>
      <c r="I78" s="559">
        <v>1.2002698246140009</v>
      </c>
      <c r="J78" s="559">
        <v>1.2075566750629723</v>
      </c>
      <c r="K78" s="559">
        <v>0.59742724588781104</v>
      </c>
      <c r="L78" s="559">
        <v>0.9653870097530608</v>
      </c>
      <c r="M78" s="559">
        <v>1.0333277507955116</v>
      </c>
      <c r="N78" s="559">
        <v>0.97371279600260696</v>
      </c>
      <c r="O78" s="559">
        <v>1.1082686158063042</v>
      </c>
      <c r="P78" s="559">
        <v>1.0378138971294866</v>
      </c>
      <c r="Q78" s="559">
        <v>1.3335846617837139</v>
      </c>
      <c r="R78" s="559"/>
      <c r="S78" s="582"/>
      <c r="T78" s="559">
        <v>0.48102101868759473</v>
      </c>
      <c r="U78" s="554">
        <v>0.93179317931793182</v>
      </c>
    </row>
    <row r="79" spans="1:21" ht="16.2" x14ac:dyDescent="0.45">
      <c r="B79" s="112" t="s">
        <v>75</v>
      </c>
      <c r="C79" s="113"/>
      <c r="D79" s="113"/>
      <c r="E79" s="419">
        <v>0.79155727252269148</v>
      </c>
      <c r="F79" s="419">
        <v>0.85088919288645692</v>
      </c>
      <c r="G79" s="419">
        <v>0.77569292123629108</v>
      </c>
      <c r="H79" s="419">
        <v>0.80539976779424205</v>
      </c>
      <c r="I79" s="419">
        <v>0.9261378878655101</v>
      </c>
      <c r="J79" s="419">
        <v>0.93427757597930328</v>
      </c>
      <c r="K79" s="419">
        <v>1.0531996260729157</v>
      </c>
      <c r="L79" s="419">
        <v>0.97091964860853086</v>
      </c>
      <c r="M79" s="419">
        <v>0.77096304146244532</v>
      </c>
      <c r="N79" s="419">
        <v>0.64957099697885201</v>
      </c>
      <c r="O79" s="419">
        <v>0.71466320863203736</v>
      </c>
      <c r="P79" s="419">
        <v>0.70992824461834636</v>
      </c>
      <c r="Q79" s="419">
        <v>0.70887902808891956</v>
      </c>
      <c r="R79" s="419"/>
      <c r="S79" s="577"/>
      <c r="T79" s="419">
        <v>0.26119912375388915</v>
      </c>
      <c r="U79" s="419">
        <v>0.68218636695407586</v>
      </c>
    </row>
    <row r="80" spans="1:21" ht="16.2" x14ac:dyDescent="0.45">
      <c r="B80" s="115"/>
      <c r="C80" s="222" t="s">
        <v>77</v>
      </c>
      <c r="D80" s="128"/>
      <c r="E80" s="554">
        <v>0.69655696902654862</v>
      </c>
      <c r="F80" s="559">
        <v>0.90811547304777318</v>
      </c>
      <c r="G80" s="559">
        <v>0.92014168410883912</v>
      </c>
      <c r="H80" s="554">
        <v>0.83276812757254914</v>
      </c>
      <c r="I80" s="559">
        <v>1.6952216960826518</v>
      </c>
      <c r="J80" s="559">
        <v>1.8017736697476892</v>
      </c>
      <c r="K80" s="559">
        <v>1.8852437417654808</v>
      </c>
      <c r="L80" s="559">
        <v>1.7969421670729004</v>
      </c>
      <c r="M80" s="559">
        <v>0.44046352134326594</v>
      </c>
      <c r="N80" s="559">
        <v>0.4737979470556456</v>
      </c>
      <c r="O80" s="559">
        <v>0.43087378640776697</v>
      </c>
      <c r="P80" s="559">
        <v>0.44795087819505924</v>
      </c>
      <c r="Q80" s="559">
        <v>0.86106811145510831</v>
      </c>
      <c r="R80" s="559"/>
      <c r="S80" s="582"/>
      <c r="T80" s="559">
        <v>0.30203278243458787</v>
      </c>
      <c r="U80" s="554">
        <v>0.79348293209070297</v>
      </c>
    </row>
    <row r="81" spans="2:21" ht="16.2" x14ac:dyDescent="0.45">
      <c r="B81" s="115"/>
      <c r="C81" s="119" t="s">
        <v>79</v>
      </c>
      <c r="D81" s="120"/>
      <c r="E81" s="555">
        <v>0.79362670713201822</v>
      </c>
      <c r="F81" s="555">
        <v>0.85305322738652445</v>
      </c>
      <c r="G81" s="555">
        <v>0.81998348472336913</v>
      </c>
      <c r="H81" s="555">
        <v>0.82155432139097606</v>
      </c>
      <c r="I81" s="555">
        <v>0.61959924859110838</v>
      </c>
      <c r="J81" s="555">
        <v>0.64309803465519244</v>
      </c>
      <c r="K81" s="555">
        <v>0.84579847671369712</v>
      </c>
      <c r="L81" s="555">
        <v>0.7071664637328231</v>
      </c>
      <c r="M81" s="555">
        <v>0.62085769980506822</v>
      </c>
      <c r="N81" s="555">
        <v>0.50515674461349946</v>
      </c>
      <c r="O81" s="555">
        <v>0.44546522807392375</v>
      </c>
      <c r="P81" s="555">
        <v>0.5265179846331679</v>
      </c>
      <c r="Q81" s="555">
        <v>0.39249028916702633</v>
      </c>
      <c r="R81" s="555"/>
      <c r="S81" s="579"/>
      <c r="T81" s="555">
        <v>0.14613530451550699</v>
      </c>
      <c r="U81" s="555">
        <v>0.53053819975871941</v>
      </c>
    </row>
    <row r="82" spans="2:21" ht="16.2" x14ac:dyDescent="0.45">
      <c r="B82" s="115"/>
      <c r="C82" s="119" t="s">
        <v>81</v>
      </c>
      <c r="D82" s="120"/>
      <c r="E82" s="555">
        <v>0.60441660473510983</v>
      </c>
      <c r="F82" s="555">
        <v>0.78551172982727502</v>
      </c>
      <c r="G82" s="555">
        <v>0.74240177909562644</v>
      </c>
      <c r="H82" s="555">
        <v>0.70420640259586087</v>
      </c>
      <c r="I82" s="555">
        <v>0.94757191463037427</v>
      </c>
      <c r="J82" s="555">
        <v>0.63646360237519239</v>
      </c>
      <c r="K82" s="555">
        <v>0.778941488618908</v>
      </c>
      <c r="L82" s="555">
        <v>0.76990449364024471</v>
      </c>
      <c r="M82" s="555">
        <v>0.80802618471609511</v>
      </c>
      <c r="N82" s="555">
        <v>0.67031373582915899</v>
      </c>
      <c r="O82" s="555">
        <v>0.96218146404804417</v>
      </c>
      <c r="P82" s="555">
        <v>0.80345624338114952</v>
      </c>
      <c r="Q82" s="555">
        <v>0.9632392837764514</v>
      </c>
      <c r="R82" s="555"/>
      <c r="S82" s="579"/>
      <c r="T82" s="555">
        <v>0.33668389360390688</v>
      </c>
      <c r="U82" s="555">
        <v>0.65750025039785431</v>
      </c>
    </row>
    <row r="83" spans="2:21" ht="16.2" x14ac:dyDescent="0.45">
      <c r="B83" s="115"/>
      <c r="C83" s="119" t="s">
        <v>83</v>
      </c>
      <c r="D83" s="120"/>
      <c r="E83" s="555">
        <v>0.94961240310077522</v>
      </c>
      <c r="F83" s="555">
        <v>1.5459940652818991</v>
      </c>
      <c r="G83" s="555">
        <v>1.1520591341077087</v>
      </c>
      <c r="H83" s="555">
        <v>1.1733886166603844</v>
      </c>
      <c r="I83" s="555">
        <v>1.1778398510242085</v>
      </c>
      <c r="J83" s="555">
        <v>1.1309823677581865</v>
      </c>
      <c r="K83" s="555">
        <v>1.3368421052631578</v>
      </c>
      <c r="L83" s="555">
        <v>1.2074650077760498</v>
      </c>
      <c r="M83" s="555">
        <v>0.89657980456026054</v>
      </c>
      <c r="N83" s="555">
        <v>0.84704184704184704</v>
      </c>
      <c r="O83" s="555">
        <v>0.92938311688311692</v>
      </c>
      <c r="P83" s="555">
        <v>0.88923556942277693</v>
      </c>
      <c r="Q83" s="555">
        <v>0.86712802768166086</v>
      </c>
      <c r="R83" s="555"/>
      <c r="S83" s="579"/>
      <c r="T83" s="555">
        <v>0.30397865114022321</v>
      </c>
      <c r="U83" s="555">
        <v>0.84330731425267413</v>
      </c>
    </row>
    <row r="84" spans="2:21" ht="16.2" x14ac:dyDescent="0.45">
      <c r="B84" s="115"/>
      <c r="C84" s="119" t="s">
        <v>85</v>
      </c>
      <c r="D84" s="120"/>
      <c r="E84" s="555">
        <v>0.65631929046563198</v>
      </c>
      <c r="F84" s="555">
        <v>0.79617224880382775</v>
      </c>
      <c r="G84" s="555">
        <v>0.61544554455445544</v>
      </c>
      <c r="H84" s="555">
        <v>0.6806484817292846</v>
      </c>
      <c r="I84" s="555">
        <v>0.71146245059288538</v>
      </c>
      <c r="J84" s="555">
        <v>0.61201360030222896</v>
      </c>
      <c r="K84" s="555">
        <v>0.78519855595667865</v>
      </c>
      <c r="L84" s="555">
        <v>0.69747899159663862</v>
      </c>
      <c r="M84" s="555">
        <v>1.2212230215827338</v>
      </c>
      <c r="N84" s="555">
        <v>0.99940652818991094</v>
      </c>
      <c r="O84" s="555">
        <v>0.81158635625338382</v>
      </c>
      <c r="P84" s="555">
        <v>1.0038461538461538</v>
      </c>
      <c r="Q84" s="555">
        <v>1.2713360800470865</v>
      </c>
      <c r="R84" s="555"/>
      <c r="S84" s="579"/>
      <c r="T84" s="555">
        <v>0.33281972265023113</v>
      </c>
      <c r="U84" s="555">
        <v>0.66348394857529513</v>
      </c>
    </row>
    <row r="85" spans="2:21" ht="16.2" x14ac:dyDescent="0.45">
      <c r="B85" s="115"/>
      <c r="C85" s="119" t="s">
        <v>87</v>
      </c>
      <c r="D85" s="120"/>
      <c r="E85" s="555">
        <v>1.2527397260273974</v>
      </c>
      <c r="F85" s="555">
        <v>1.1973941368078176</v>
      </c>
      <c r="G85" s="555">
        <v>0.73822714681440438</v>
      </c>
      <c r="H85" s="555">
        <v>1.0662311331380943</v>
      </c>
      <c r="I85" s="555">
        <v>1.3608163265306124</v>
      </c>
      <c r="J85" s="555">
        <v>1.9433333333333334</v>
      </c>
      <c r="K85" s="555">
        <v>1.6808743169398908</v>
      </c>
      <c r="L85" s="555">
        <v>1.6577844311377246</v>
      </c>
      <c r="M85" s="555">
        <v>1.7642512077294685</v>
      </c>
      <c r="N85" s="555">
        <v>1.6398148148148148</v>
      </c>
      <c r="O85" s="555">
        <v>1.8491666666666666</v>
      </c>
      <c r="P85" s="555">
        <v>1.7544494720965309</v>
      </c>
      <c r="Q85" s="555">
        <v>1.9427732942039619</v>
      </c>
      <c r="R85" s="555"/>
      <c r="S85" s="579"/>
      <c r="T85" s="555">
        <v>0.63699783497714701</v>
      </c>
      <c r="U85" s="555">
        <v>1.2283784669857714</v>
      </c>
    </row>
    <row r="86" spans="2:21" ht="16.2" x14ac:dyDescent="0.45">
      <c r="B86" s="115"/>
      <c r="C86" s="211" t="s">
        <v>89</v>
      </c>
      <c r="D86" s="231"/>
      <c r="E86" s="556">
        <v>0.98619400302006188</v>
      </c>
      <c r="F86" s="558">
        <v>0.78392745465916203</v>
      </c>
      <c r="G86" s="558">
        <v>0.66498368327073454</v>
      </c>
      <c r="H86" s="556">
        <v>0.80302570549221897</v>
      </c>
      <c r="I86" s="558">
        <v>0.5049180327868853</v>
      </c>
      <c r="J86" s="558">
        <v>0.62549800796812749</v>
      </c>
      <c r="K86" s="558">
        <v>0.70567375886524819</v>
      </c>
      <c r="L86" s="558">
        <v>0.60859188544152742</v>
      </c>
      <c r="M86" s="558">
        <v>1.0363073110285006</v>
      </c>
      <c r="N86" s="558">
        <v>0.73937677053824358</v>
      </c>
      <c r="O86" s="558">
        <v>0.91086350974930363</v>
      </c>
      <c r="P86" s="558">
        <v>0.88355419639823307</v>
      </c>
      <c r="Q86" s="558">
        <v>0.4990494296577947</v>
      </c>
      <c r="R86" s="558"/>
      <c r="S86" s="583"/>
      <c r="T86" s="558">
        <v>0.21319796954314721</v>
      </c>
      <c r="U86" s="556">
        <v>0.64988714704663053</v>
      </c>
    </row>
    <row r="87" spans="2:21" ht="16.2" x14ac:dyDescent="0.45">
      <c r="B87" s="112" t="s">
        <v>91</v>
      </c>
      <c r="C87" s="113"/>
      <c r="D87" s="113"/>
      <c r="E87" s="419">
        <v>0.60924501739403603</v>
      </c>
      <c r="F87" s="419">
        <v>0.77623406695665342</v>
      </c>
      <c r="G87" s="419">
        <v>0.85760861861223336</v>
      </c>
      <c r="H87" s="419">
        <v>0.74180857148128332</v>
      </c>
      <c r="I87" s="419">
        <v>0.58210814544378109</v>
      </c>
      <c r="J87" s="419">
        <v>0.85641833414110646</v>
      </c>
      <c r="K87" s="419">
        <v>1.0457122856142806</v>
      </c>
      <c r="L87" s="419">
        <v>0.79813049778557876</v>
      </c>
      <c r="M87" s="419">
        <v>0.76891674570120816</v>
      </c>
      <c r="N87" s="419">
        <v>0.80466927322166981</v>
      </c>
      <c r="O87" s="419">
        <v>1.2566385721368369</v>
      </c>
      <c r="P87" s="419">
        <v>0.9136076922661861</v>
      </c>
      <c r="Q87" s="419">
        <v>0.9632297934623516</v>
      </c>
      <c r="R87" s="419"/>
      <c r="S87" s="577"/>
      <c r="T87" s="419">
        <v>0.27111064320632772</v>
      </c>
      <c r="U87" s="419">
        <v>0.66838844619806348</v>
      </c>
    </row>
    <row r="88" spans="2:21" ht="16.2" x14ac:dyDescent="0.45">
      <c r="B88" s="115"/>
      <c r="C88" s="222" t="s">
        <v>95</v>
      </c>
      <c r="D88" s="128"/>
      <c r="E88" s="554">
        <v>0.95699500356887934</v>
      </c>
      <c r="F88" s="559">
        <v>1.1902298850574713</v>
      </c>
      <c r="G88" s="559">
        <v>1.3012514898688916</v>
      </c>
      <c r="H88" s="554">
        <v>1.1546594074449228</v>
      </c>
      <c r="I88" s="559">
        <v>0.55845225027442369</v>
      </c>
      <c r="J88" s="559">
        <v>0.69480122324159022</v>
      </c>
      <c r="K88" s="559">
        <v>0.97193242442205097</v>
      </c>
      <c r="L88" s="559">
        <v>0.73739307931570763</v>
      </c>
      <c r="M88" s="559">
        <v>0.64014699797999464</v>
      </c>
      <c r="N88" s="559">
        <v>0.66436583261432269</v>
      </c>
      <c r="O88" s="559">
        <v>1.0758709677419356</v>
      </c>
      <c r="P88" s="559">
        <v>0.7756385998107852</v>
      </c>
      <c r="Q88" s="559">
        <v>0.87190128996074034</v>
      </c>
      <c r="R88" s="559"/>
      <c r="S88" s="582"/>
      <c r="T88" s="559">
        <v>0.25228821811100294</v>
      </c>
      <c r="U88" s="554">
        <v>0.68192551119766309</v>
      </c>
    </row>
    <row r="89" spans="2:21" ht="16.2" x14ac:dyDescent="0.45">
      <c r="B89" s="115"/>
      <c r="C89" s="211" t="s">
        <v>97</v>
      </c>
      <c r="D89" s="231"/>
      <c r="E89" s="445">
        <v>0.44103989366293223</v>
      </c>
      <c r="F89" s="425">
        <v>0.52618973237529942</v>
      </c>
      <c r="G89" s="425">
        <v>0.56621129682545901</v>
      </c>
      <c r="H89" s="445">
        <v>0.50523826107144931</v>
      </c>
      <c r="I89" s="425">
        <v>0.60142037817008698</v>
      </c>
      <c r="J89" s="425">
        <v>1.067206445437141</v>
      </c>
      <c r="K89" s="425">
        <v>1.152094017094017</v>
      </c>
      <c r="L89" s="425">
        <v>0.86524251406968256</v>
      </c>
      <c r="M89" s="425">
        <v>0.93601566447700857</v>
      </c>
      <c r="N89" s="425">
        <v>0.96990189208128941</v>
      </c>
      <c r="O89" s="425">
        <v>1.5451222651222651</v>
      </c>
      <c r="P89" s="425">
        <v>1.0967486719662434</v>
      </c>
      <c r="Q89" s="425">
        <v>1.08931475029036</v>
      </c>
      <c r="R89" s="425"/>
      <c r="S89" s="584"/>
      <c r="T89" s="425">
        <v>0.29546981980089887</v>
      </c>
      <c r="U89" s="445">
        <v>0.65468448509969268</v>
      </c>
    </row>
    <row r="90" spans="2:21" ht="16.2" x14ac:dyDescent="0.45">
      <c r="B90" s="112" t="s">
        <v>93</v>
      </c>
      <c r="C90" s="113"/>
      <c r="D90" s="113"/>
      <c r="E90" s="419">
        <v>0.16666666666666666</v>
      </c>
      <c r="F90" s="419">
        <v>0.84848484848484851</v>
      </c>
      <c r="G90" s="419">
        <v>0.88571428571428568</v>
      </c>
      <c r="H90" s="419">
        <v>0.625</v>
      </c>
      <c r="I90" s="419">
        <v>1.5714285714285714</v>
      </c>
      <c r="J90" s="419">
        <v>0.93333333333333335</v>
      </c>
      <c r="K90" s="419">
        <v>1.032258064516129</v>
      </c>
      <c r="L90" s="419">
        <v>1.1333333333333333</v>
      </c>
      <c r="M90" s="419">
        <v>2.1</v>
      </c>
      <c r="N90" s="419">
        <v>0.81818181818181823</v>
      </c>
      <c r="O90" s="419">
        <v>0.72580645161290325</v>
      </c>
      <c r="P90" s="419">
        <v>0.90361445783132532</v>
      </c>
      <c r="Q90" s="419">
        <v>4</v>
      </c>
      <c r="R90" s="419"/>
      <c r="S90" s="577"/>
      <c r="T90" s="419">
        <v>1.8</v>
      </c>
      <c r="U90" s="419">
        <v>0.91385767790262173</v>
      </c>
    </row>
    <row r="91" spans="2:21" ht="16.2" x14ac:dyDescent="0.45">
      <c r="B91" s="115"/>
      <c r="C91" s="222" t="s">
        <v>99</v>
      </c>
      <c r="D91" s="128"/>
      <c r="E91" s="559">
        <v>0</v>
      </c>
      <c r="F91" s="559">
        <v>0.75862068965517238</v>
      </c>
      <c r="G91" s="559">
        <v>0.84375</v>
      </c>
      <c r="H91" s="559">
        <v>0.53846153846153844</v>
      </c>
      <c r="I91" s="559">
        <v>2.6</v>
      </c>
      <c r="J91" s="559">
        <v>1.5555555555555556</v>
      </c>
      <c r="K91" s="559">
        <v>0.92</v>
      </c>
      <c r="L91" s="559">
        <v>1.2820512820512822</v>
      </c>
      <c r="M91" s="559">
        <v>2.4</v>
      </c>
      <c r="N91" s="559">
        <v>0</v>
      </c>
      <c r="O91" s="559">
        <v>0.6</v>
      </c>
      <c r="P91" s="559">
        <v>0.75</v>
      </c>
      <c r="Q91" s="559">
        <v>0</v>
      </c>
      <c r="R91" s="559"/>
      <c r="S91" s="582"/>
      <c r="T91" s="589" t="s">
        <v>179</v>
      </c>
      <c r="U91" s="559">
        <v>0.90322580645161288</v>
      </c>
    </row>
    <row r="92" spans="2:21" ht="16.2" x14ac:dyDescent="0.45">
      <c r="B92" s="165"/>
      <c r="C92" s="211" t="s">
        <v>101</v>
      </c>
      <c r="D92" s="231"/>
      <c r="E92" s="560">
        <v>1</v>
      </c>
      <c r="F92" s="558">
        <v>1.5</v>
      </c>
      <c r="G92" s="558">
        <v>1.3333333333333333</v>
      </c>
      <c r="H92" s="560">
        <v>1.2307692307692308</v>
      </c>
      <c r="I92" s="558">
        <v>1</v>
      </c>
      <c r="J92" s="558">
        <v>0</v>
      </c>
      <c r="K92" s="558">
        <v>1.5</v>
      </c>
      <c r="L92" s="558">
        <v>0.8571428571428571</v>
      </c>
      <c r="M92" s="558">
        <v>1.8</v>
      </c>
      <c r="N92" s="558">
        <v>0.9</v>
      </c>
      <c r="O92" s="558">
        <v>1.25</v>
      </c>
      <c r="P92" s="558">
        <v>1.2222222222222223</v>
      </c>
      <c r="Q92" s="558">
        <v>1</v>
      </c>
      <c r="R92" s="558"/>
      <c r="S92" s="583"/>
      <c r="T92" s="558">
        <v>0.45</v>
      </c>
      <c r="U92" s="560">
        <v>0.93827160493827155</v>
      </c>
    </row>
    <row r="93" spans="2:21" ht="7.05" customHeight="1" thickBot="1" x14ac:dyDescent="0.5">
      <c r="B93" s="130"/>
      <c r="C93" s="167"/>
      <c r="D93" s="167"/>
      <c r="E93" s="561"/>
      <c r="F93" s="561"/>
      <c r="G93" s="561"/>
      <c r="H93" s="561"/>
      <c r="I93" s="561"/>
      <c r="J93" s="561"/>
      <c r="K93" s="561"/>
      <c r="L93" s="561"/>
      <c r="M93" s="561"/>
      <c r="N93" s="561"/>
      <c r="O93" s="561"/>
      <c r="P93" s="561"/>
      <c r="Q93" s="561"/>
      <c r="R93" s="561"/>
      <c r="S93" s="561"/>
      <c r="T93" s="561"/>
      <c r="U93" s="562"/>
    </row>
    <row r="94" spans="2:21" ht="16.8" thickBot="1" x14ac:dyDescent="0.5">
      <c r="B94" s="590" t="s">
        <v>57</v>
      </c>
      <c r="C94" s="591"/>
      <c r="D94" s="592"/>
      <c r="E94" s="522">
        <v>0.79683435226136767</v>
      </c>
      <c r="F94" s="522">
        <v>0.96444640494044998</v>
      </c>
      <c r="G94" s="522">
        <v>0.96497719090450673</v>
      </c>
      <c r="H94" s="522">
        <v>0.90655459179111153</v>
      </c>
      <c r="I94" s="522">
        <v>0.88130958282940874</v>
      </c>
      <c r="J94" s="522">
        <v>0.94906693691879562</v>
      </c>
      <c r="K94" s="522">
        <v>0.99423049683368281</v>
      </c>
      <c r="L94" s="522">
        <v>0.93984342084854589</v>
      </c>
      <c r="M94" s="522">
        <v>0.92964315969583022</v>
      </c>
      <c r="N94" s="522">
        <v>0.8696296489302453</v>
      </c>
      <c r="O94" s="522">
        <v>1.0382472519198915</v>
      </c>
      <c r="P94" s="522">
        <v>0.94515365489366265</v>
      </c>
      <c r="Q94" s="522">
        <v>0.89115764431541822</v>
      </c>
      <c r="R94" s="522"/>
      <c r="S94" s="585"/>
      <c r="T94" s="522">
        <v>0.32164687929063002</v>
      </c>
      <c r="U94" s="524">
        <v>0.77638065916872723</v>
      </c>
    </row>
    <row r="96" spans="2:21" ht="16.2" x14ac:dyDescent="0.45">
      <c r="B96" s="572" t="s">
        <v>145</v>
      </c>
    </row>
    <row r="97" spans="2:2" ht="16.2" x14ac:dyDescent="0.45">
      <c r="B97" s="358" t="s">
        <v>146</v>
      </c>
    </row>
  </sheetData>
  <mergeCells count="14">
    <mergeCell ref="H67:H68"/>
    <mergeCell ref="L67:L68"/>
    <mergeCell ref="P67:P68"/>
    <mergeCell ref="T67:T68"/>
    <mergeCell ref="B94:D94"/>
    <mergeCell ref="B63:D63"/>
    <mergeCell ref="H5:H6"/>
    <mergeCell ref="L5:L6"/>
    <mergeCell ref="P5:P6"/>
    <mergeCell ref="T5:T6"/>
    <mergeCell ref="H36:H37"/>
    <mergeCell ref="L36:L37"/>
    <mergeCell ref="P36:P37"/>
    <mergeCell ref="T36:T37"/>
  </mergeCells>
  <phoneticPr fontId="2"/>
  <pageMargins left="0.7" right="0.7" top="0.75" bottom="0.75" header="0.3" footer="0.3"/>
  <pageSetup paperSize="9" orientation="portrait" r:id="rId1"/>
  <ignoredErrors>
    <ignoredError sqref="T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A715-BE33-48B2-A63B-3F7624AD7372}">
  <sheetPr>
    <pageSetUpPr fitToPage="1"/>
  </sheetPr>
  <dimension ref="B2:AB121"/>
  <sheetViews>
    <sheetView showGridLines="0" zoomScale="55" zoomScaleNormal="55" workbookViewId="0">
      <selection activeCell="H2" sqref="H2"/>
    </sheetView>
  </sheetViews>
  <sheetFormatPr defaultColWidth="8.09765625" defaultRowHeight="15" outlineLevelRow="1" x14ac:dyDescent="0.45"/>
  <cols>
    <col min="1" max="2" width="8.59765625" style="190" customWidth="1"/>
    <col min="3" max="3" width="8.09765625" style="190" customWidth="1"/>
    <col min="4" max="4" width="28.296875" style="190" customWidth="1"/>
    <col min="5" max="7" width="13.59765625" style="190" customWidth="1"/>
    <col min="8" max="8" width="14.5" style="190" customWidth="1"/>
    <col min="9" max="11" width="13.59765625" style="190" customWidth="1"/>
    <col min="12" max="12" width="14.5" style="190" customWidth="1"/>
    <col min="13" max="15" width="13.59765625" style="190" customWidth="1"/>
    <col min="16" max="16" width="14.5" style="190" customWidth="1"/>
    <col min="17" max="19" width="13.59765625" style="190" customWidth="1"/>
    <col min="20" max="21" width="14.5" style="190" customWidth="1"/>
    <col min="22" max="22" width="2.59765625" style="190" customWidth="1"/>
    <col min="23" max="28" width="8.09765625" style="190"/>
    <col min="29" max="29" width="8.09765625" style="190" customWidth="1"/>
    <col min="30" max="16384" width="8.09765625" style="190"/>
  </cols>
  <sheetData>
    <row r="2" spans="2:22" ht="22.8" x14ac:dyDescent="0.45">
      <c r="B2" s="189" t="s">
        <v>107</v>
      </c>
    </row>
    <row r="3" spans="2:22" ht="16.2" outlineLevel="1" x14ac:dyDescent="0.3">
      <c r="B3" s="597">
        <f>E4</f>
        <v>2024</v>
      </c>
      <c r="C3" s="597"/>
      <c r="U3" s="509" t="s">
        <v>104</v>
      </c>
    </row>
    <row r="4" spans="2:22" ht="16.05" customHeight="1" outlineLevel="1" x14ac:dyDescent="0.45">
      <c r="B4" s="191"/>
      <c r="C4" s="192"/>
      <c r="D4" s="192"/>
      <c r="E4" s="601">
        <v>2024</v>
      </c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3"/>
      <c r="V4" s="201"/>
    </row>
    <row r="5" spans="2:22" ht="16.05" customHeight="1" outlineLevel="1" x14ac:dyDescent="0.45">
      <c r="B5" s="193"/>
      <c r="C5" s="194"/>
      <c r="D5" s="194"/>
      <c r="E5" s="147"/>
      <c r="F5" s="148"/>
      <c r="G5" s="148"/>
      <c r="H5" s="593" t="s">
        <v>165</v>
      </c>
      <c r="I5" s="214"/>
      <c r="J5" s="214"/>
      <c r="K5" s="214"/>
      <c r="L5" s="593" t="s">
        <v>166</v>
      </c>
      <c r="M5" s="214"/>
      <c r="N5" s="214"/>
      <c r="O5" s="214"/>
      <c r="P5" s="593" t="s">
        <v>167</v>
      </c>
      <c r="Q5" s="214"/>
      <c r="R5" s="214"/>
      <c r="S5" s="214"/>
      <c r="T5" s="593" t="s">
        <v>168</v>
      </c>
      <c r="U5" s="215">
        <f>E4</f>
        <v>2024</v>
      </c>
      <c r="V5" s="201"/>
    </row>
    <row r="6" spans="2:22" ht="16.05" customHeight="1" outlineLevel="1" x14ac:dyDescent="0.45">
      <c r="B6" s="195"/>
      <c r="C6" s="196"/>
      <c r="D6" s="196"/>
      <c r="E6" s="216" t="s">
        <v>152</v>
      </c>
      <c r="F6" s="216" t="s">
        <v>153</v>
      </c>
      <c r="G6" s="216" t="s">
        <v>154</v>
      </c>
      <c r="H6" s="594"/>
      <c r="I6" s="217" t="s">
        <v>155</v>
      </c>
      <c r="J6" s="216" t="s">
        <v>102</v>
      </c>
      <c r="K6" s="216" t="s">
        <v>156</v>
      </c>
      <c r="L6" s="594"/>
      <c r="M6" s="217" t="s">
        <v>157</v>
      </c>
      <c r="N6" s="216" t="s">
        <v>158</v>
      </c>
      <c r="O6" s="216" t="s">
        <v>159</v>
      </c>
      <c r="P6" s="594"/>
      <c r="Q6" s="217" t="s">
        <v>160</v>
      </c>
      <c r="R6" s="216" t="s">
        <v>161</v>
      </c>
      <c r="S6" s="218" t="s">
        <v>162</v>
      </c>
      <c r="T6" s="594"/>
      <c r="U6" s="217" t="s">
        <v>39</v>
      </c>
      <c r="V6" s="201"/>
    </row>
    <row r="7" spans="2:22" ht="16.05" customHeight="1" outlineLevel="1" x14ac:dyDescent="0.45">
      <c r="B7" s="291" t="s">
        <v>56</v>
      </c>
      <c r="C7" s="292"/>
      <c r="D7" s="292"/>
      <c r="E7" s="293">
        <v>53402</v>
      </c>
      <c r="F7" s="293">
        <v>57147</v>
      </c>
      <c r="G7" s="293">
        <v>73321</v>
      </c>
      <c r="H7" s="294">
        <v>183870</v>
      </c>
      <c r="I7" s="293">
        <v>50142</v>
      </c>
      <c r="J7" s="293">
        <v>48524</v>
      </c>
      <c r="K7" s="293">
        <v>59246</v>
      </c>
      <c r="L7" s="293">
        <v>157912</v>
      </c>
      <c r="M7" s="293">
        <v>59782</v>
      </c>
      <c r="N7" s="293">
        <v>45868</v>
      </c>
      <c r="O7" s="293">
        <v>67982</v>
      </c>
      <c r="P7" s="293">
        <v>173632</v>
      </c>
      <c r="Q7" s="293">
        <v>53242</v>
      </c>
      <c r="R7" s="293">
        <v>53920</v>
      </c>
      <c r="S7" s="293">
        <v>45824</v>
      </c>
      <c r="T7" s="293">
        <v>152986</v>
      </c>
      <c r="U7" s="293">
        <v>668400</v>
      </c>
    </row>
    <row r="8" spans="2:22" ht="16.05" customHeight="1" outlineLevel="1" x14ac:dyDescent="0.45">
      <c r="B8" s="295"/>
      <c r="C8" s="296" t="s">
        <v>109</v>
      </c>
      <c r="D8" s="297"/>
      <c r="E8" s="298">
        <v>28882</v>
      </c>
      <c r="F8" s="298">
        <v>33165</v>
      </c>
      <c r="G8" s="298">
        <v>45584</v>
      </c>
      <c r="H8" s="299">
        <v>107631</v>
      </c>
      <c r="I8" s="298">
        <v>30030</v>
      </c>
      <c r="J8" s="298">
        <v>27744</v>
      </c>
      <c r="K8" s="298">
        <v>34957</v>
      </c>
      <c r="L8" s="298">
        <v>92731</v>
      </c>
      <c r="M8" s="298">
        <v>35784</v>
      </c>
      <c r="N8" s="298">
        <v>25657</v>
      </c>
      <c r="O8" s="298">
        <v>35334</v>
      </c>
      <c r="P8" s="298">
        <v>96775</v>
      </c>
      <c r="Q8" s="298">
        <v>29310</v>
      </c>
      <c r="R8" s="298">
        <v>28604</v>
      </c>
      <c r="S8" s="298">
        <v>25033</v>
      </c>
      <c r="T8" s="298">
        <v>82947</v>
      </c>
      <c r="U8" s="298">
        <v>380084</v>
      </c>
    </row>
    <row r="9" spans="2:22" ht="16.05" customHeight="1" outlineLevel="1" x14ac:dyDescent="0.45">
      <c r="B9" s="300"/>
      <c r="C9" s="301" t="s">
        <v>111</v>
      </c>
      <c r="D9" s="302"/>
      <c r="E9" s="303">
        <v>24520</v>
      </c>
      <c r="F9" s="303">
        <v>23982</v>
      </c>
      <c r="G9" s="303">
        <v>27737</v>
      </c>
      <c r="H9" s="304">
        <v>76239</v>
      </c>
      <c r="I9" s="303">
        <v>20112</v>
      </c>
      <c r="J9" s="303">
        <v>20780</v>
      </c>
      <c r="K9" s="303">
        <v>24289</v>
      </c>
      <c r="L9" s="303">
        <v>65181</v>
      </c>
      <c r="M9" s="303">
        <v>23998</v>
      </c>
      <c r="N9" s="303">
        <v>20211</v>
      </c>
      <c r="O9" s="303">
        <v>32648</v>
      </c>
      <c r="P9" s="303">
        <v>76857</v>
      </c>
      <c r="Q9" s="303">
        <v>23932</v>
      </c>
      <c r="R9" s="303">
        <v>25316</v>
      </c>
      <c r="S9" s="303">
        <v>20791</v>
      </c>
      <c r="T9" s="303">
        <v>70039</v>
      </c>
      <c r="U9" s="303">
        <v>288316</v>
      </c>
    </row>
    <row r="10" spans="2:22" ht="16.05" customHeight="1" outlineLevel="1" x14ac:dyDescent="0.45">
      <c r="B10" s="305" t="s">
        <v>59</v>
      </c>
      <c r="C10" s="306"/>
      <c r="D10" s="306"/>
      <c r="E10" s="307">
        <v>106161</v>
      </c>
      <c r="F10" s="307">
        <v>124844</v>
      </c>
      <c r="G10" s="307">
        <v>147148</v>
      </c>
      <c r="H10" s="308">
        <v>378153</v>
      </c>
      <c r="I10" s="307">
        <v>131524</v>
      </c>
      <c r="J10" s="307">
        <v>144285</v>
      </c>
      <c r="K10" s="307">
        <v>127464</v>
      </c>
      <c r="L10" s="307">
        <v>403273</v>
      </c>
      <c r="M10" s="307">
        <v>137372</v>
      </c>
      <c r="N10" s="307">
        <v>157240</v>
      </c>
      <c r="O10" s="307">
        <v>122561</v>
      </c>
      <c r="P10" s="307">
        <v>417173</v>
      </c>
      <c r="Q10" s="307">
        <v>127232</v>
      </c>
      <c r="R10" s="307">
        <v>139401</v>
      </c>
      <c r="S10" s="307">
        <v>150723</v>
      </c>
      <c r="T10" s="307">
        <v>417356</v>
      </c>
      <c r="U10" s="307">
        <v>1615955</v>
      </c>
    </row>
    <row r="11" spans="2:22" ht="16.05" customHeight="1" outlineLevel="1" x14ac:dyDescent="0.45">
      <c r="B11" s="295"/>
      <c r="C11" s="296" t="s">
        <v>115</v>
      </c>
      <c r="D11" s="297"/>
      <c r="E11" s="298">
        <v>93210</v>
      </c>
      <c r="F11" s="298">
        <v>110110</v>
      </c>
      <c r="G11" s="298">
        <v>130504</v>
      </c>
      <c r="H11" s="299">
        <v>333824</v>
      </c>
      <c r="I11" s="298">
        <v>116586</v>
      </c>
      <c r="J11" s="298">
        <v>127129</v>
      </c>
      <c r="K11" s="298">
        <v>112742</v>
      </c>
      <c r="L11" s="298">
        <v>356457</v>
      </c>
      <c r="M11" s="298">
        <v>120737</v>
      </c>
      <c r="N11" s="298">
        <v>139950</v>
      </c>
      <c r="O11" s="298">
        <v>105527</v>
      </c>
      <c r="P11" s="298">
        <v>366214</v>
      </c>
      <c r="Q11" s="298">
        <v>110346</v>
      </c>
      <c r="R11" s="298">
        <v>121419</v>
      </c>
      <c r="S11" s="298">
        <v>135597</v>
      </c>
      <c r="T11" s="298">
        <v>367362</v>
      </c>
      <c r="U11" s="298">
        <v>1423857</v>
      </c>
    </row>
    <row r="12" spans="2:22" ht="16.05" customHeight="1" outlineLevel="1" x14ac:dyDescent="0.45">
      <c r="B12" s="295"/>
      <c r="C12" s="309" t="s">
        <v>67</v>
      </c>
      <c r="D12" s="310"/>
      <c r="E12" s="311">
        <v>8165</v>
      </c>
      <c r="F12" s="311">
        <v>10238</v>
      </c>
      <c r="G12" s="311">
        <v>11832</v>
      </c>
      <c r="H12" s="312">
        <v>30235</v>
      </c>
      <c r="I12" s="311">
        <v>10392</v>
      </c>
      <c r="J12" s="311">
        <v>12181</v>
      </c>
      <c r="K12" s="311">
        <v>10459</v>
      </c>
      <c r="L12" s="311">
        <v>33032</v>
      </c>
      <c r="M12" s="311">
        <v>11763</v>
      </c>
      <c r="N12" s="311">
        <v>12689</v>
      </c>
      <c r="O12" s="311">
        <v>12551</v>
      </c>
      <c r="P12" s="311">
        <v>37003</v>
      </c>
      <c r="Q12" s="311">
        <v>13046</v>
      </c>
      <c r="R12" s="311">
        <v>12332</v>
      </c>
      <c r="S12" s="311">
        <v>10044</v>
      </c>
      <c r="T12" s="311">
        <v>35422</v>
      </c>
      <c r="U12" s="311">
        <v>135692</v>
      </c>
    </row>
    <row r="13" spans="2:22" ht="16.05" customHeight="1" outlineLevel="1" x14ac:dyDescent="0.45">
      <c r="B13" s="295"/>
      <c r="C13" s="309" t="s">
        <v>69</v>
      </c>
      <c r="D13" s="310"/>
      <c r="E13" s="311">
        <v>3537</v>
      </c>
      <c r="F13" s="311">
        <v>3441</v>
      </c>
      <c r="G13" s="311">
        <v>3515</v>
      </c>
      <c r="H13" s="312">
        <v>10493</v>
      </c>
      <c r="I13" s="311">
        <v>3361</v>
      </c>
      <c r="J13" s="311">
        <v>3881</v>
      </c>
      <c r="K13" s="311">
        <v>3230</v>
      </c>
      <c r="L13" s="311">
        <v>10472</v>
      </c>
      <c r="M13" s="311">
        <v>3805</v>
      </c>
      <c r="N13" s="311">
        <v>3563</v>
      </c>
      <c r="O13" s="311">
        <v>3483</v>
      </c>
      <c r="P13" s="311">
        <v>10851</v>
      </c>
      <c r="Q13" s="311">
        <v>2931</v>
      </c>
      <c r="R13" s="311">
        <v>4601</v>
      </c>
      <c r="S13" s="311">
        <v>3989</v>
      </c>
      <c r="T13" s="311">
        <v>11521</v>
      </c>
      <c r="U13" s="311">
        <v>43337</v>
      </c>
    </row>
    <row r="14" spans="2:22" ht="16.05" customHeight="1" outlineLevel="1" x14ac:dyDescent="0.45">
      <c r="B14" s="295"/>
      <c r="C14" s="301" t="s">
        <v>93</v>
      </c>
      <c r="D14" s="302"/>
      <c r="E14" s="303">
        <v>1249</v>
      </c>
      <c r="F14" s="303">
        <v>1055</v>
      </c>
      <c r="G14" s="303">
        <v>1297</v>
      </c>
      <c r="H14" s="304">
        <v>3601</v>
      </c>
      <c r="I14" s="303">
        <v>1185</v>
      </c>
      <c r="J14" s="303">
        <v>1094</v>
      </c>
      <c r="K14" s="303">
        <v>1033</v>
      </c>
      <c r="L14" s="303">
        <v>3312</v>
      </c>
      <c r="M14" s="303">
        <v>1067</v>
      </c>
      <c r="N14" s="303">
        <v>1038</v>
      </c>
      <c r="O14" s="303">
        <v>1000</v>
      </c>
      <c r="P14" s="303">
        <v>3105</v>
      </c>
      <c r="Q14" s="303">
        <v>909</v>
      </c>
      <c r="R14" s="303">
        <v>1049</v>
      </c>
      <c r="S14" s="303">
        <v>1093</v>
      </c>
      <c r="T14" s="303">
        <v>3051</v>
      </c>
      <c r="U14" s="303">
        <v>13069</v>
      </c>
    </row>
    <row r="15" spans="2:22" ht="16.05" customHeight="1" outlineLevel="1" x14ac:dyDescent="0.45">
      <c r="B15" s="291" t="s">
        <v>71</v>
      </c>
      <c r="C15" s="292"/>
      <c r="D15" s="292"/>
      <c r="E15" s="293">
        <v>5954</v>
      </c>
      <c r="F15" s="293">
        <v>6344</v>
      </c>
      <c r="G15" s="293">
        <v>7441</v>
      </c>
      <c r="H15" s="294">
        <v>19739</v>
      </c>
      <c r="I15" s="293">
        <v>7909</v>
      </c>
      <c r="J15" s="293">
        <v>7235</v>
      </c>
      <c r="K15" s="293">
        <v>8268</v>
      </c>
      <c r="L15" s="293">
        <v>23412</v>
      </c>
      <c r="M15" s="293">
        <v>9400</v>
      </c>
      <c r="N15" s="293">
        <v>9546</v>
      </c>
      <c r="O15" s="293">
        <v>9640</v>
      </c>
      <c r="P15" s="293">
        <v>28586</v>
      </c>
      <c r="Q15" s="293">
        <v>10984</v>
      </c>
      <c r="R15" s="293">
        <v>9793</v>
      </c>
      <c r="S15" s="293">
        <v>10062</v>
      </c>
      <c r="T15" s="293">
        <v>30839</v>
      </c>
      <c r="U15" s="293">
        <v>102576</v>
      </c>
    </row>
    <row r="16" spans="2:22" ht="16.05" customHeight="1" outlineLevel="1" x14ac:dyDescent="0.45">
      <c r="B16" s="313"/>
      <c r="C16" s="296" t="s">
        <v>73</v>
      </c>
      <c r="D16" s="297"/>
      <c r="E16" s="298">
        <v>5155</v>
      </c>
      <c r="F16" s="298">
        <v>5443</v>
      </c>
      <c r="G16" s="298">
        <v>6415</v>
      </c>
      <c r="H16" s="299">
        <v>17013</v>
      </c>
      <c r="I16" s="298">
        <v>7166</v>
      </c>
      <c r="J16" s="298">
        <v>6448</v>
      </c>
      <c r="K16" s="298">
        <v>7493</v>
      </c>
      <c r="L16" s="298">
        <v>21107</v>
      </c>
      <c r="M16" s="298">
        <v>8430</v>
      </c>
      <c r="N16" s="298">
        <v>8477</v>
      </c>
      <c r="O16" s="298">
        <v>8691</v>
      </c>
      <c r="P16" s="298">
        <v>25598</v>
      </c>
      <c r="Q16" s="298">
        <v>9957</v>
      </c>
      <c r="R16" s="298">
        <v>8758</v>
      </c>
      <c r="S16" s="298">
        <v>9036</v>
      </c>
      <c r="T16" s="298">
        <v>27751</v>
      </c>
      <c r="U16" s="298">
        <v>91469</v>
      </c>
    </row>
    <row r="17" spans="2:21" ht="16.05" customHeight="1" outlineLevel="1" x14ac:dyDescent="0.45">
      <c r="B17" s="314"/>
      <c r="C17" s="301" t="s">
        <v>92</v>
      </c>
      <c r="D17" s="302"/>
      <c r="E17" s="303">
        <v>799</v>
      </c>
      <c r="F17" s="303">
        <v>901</v>
      </c>
      <c r="G17" s="303">
        <v>1026</v>
      </c>
      <c r="H17" s="304">
        <v>2726</v>
      </c>
      <c r="I17" s="303">
        <v>743</v>
      </c>
      <c r="J17" s="303">
        <v>787</v>
      </c>
      <c r="K17" s="303">
        <v>775</v>
      </c>
      <c r="L17" s="303">
        <v>2305</v>
      </c>
      <c r="M17" s="303">
        <v>970</v>
      </c>
      <c r="N17" s="303">
        <v>1069</v>
      </c>
      <c r="O17" s="303">
        <v>949</v>
      </c>
      <c r="P17" s="303">
        <v>2988</v>
      </c>
      <c r="Q17" s="303">
        <v>1027</v>
      </c>
      <c r="R17" s="303">
        <v>1035</v>
      </c>
      <c r="S17" s="303">
        <v>1026</v>
      </c>
      <c r="T17" s="303">
        <v>3088</v>
      </c>
      <c r="U17" s="303">
        <v>11107</v>
      </c>
    </row>
    <row r="18" spans="2:21" ht="16.05" customHeight="1" outlineLevel="1" x14ac:dyDescent="0.45">
      <c r="B18" s="291" t="s">
        <v>113</v>
      </c>
      <c r="C18" s="292"/>
      <c r="D18" s="292"/>
      <c r="E18" s="293">
        <v>6944</v>
      </c>
      <c r="F18" s="293">
        <v>7626</v>
      </c>
      <c r="G18" s="293">
        <v>15782</v>
      </c>
      <c r="H18" s="294">
        <v>30352</v>
      </c>
      <c r="I18" s="293">
        <v>7304</v>
      </c>
      <c r="J18" s="293">
        <v>8403</v>
      </c>
      <c r="K18" s="293">
        <v>9305</v>
      </c>
      <c r="L18" s="293">
        <v>25012</v>
      </c>
      <c r="M18" s="293">
        <v>7779</v>
      </c>
      <c r="N18" s="293">
        <v>7237</v>
      </c>
      <c r="O18" s="293">
        <v>10190</v>
      </c>
      <c r="P18" s="293">
        <v>25206</v>
      </c>
      <c r="Q18" s="293">
        <v>6631</v>
      </c>
      <c r="R18" s="293">
        <v>5910</v>
      </c>
      <c r="S18" s="293">
        <v>6416</v>
      </c>
      <c r="T18" s="293">
        <v>18957</v>
      </c>
      <c r="U18" s="293">
        <v>99527</v>
      </c>
    </row>
    <row r="19" spans="2:21" ht="16.05" customHeight="1" outlineLevel="1" x14ac:dyDescent="0.45">
      <c r="B19" s="295"/>
      <c r="C19" s="296" t="s">
        <v>113</v>
      </c>
      <c r="D19" s="297"/>
      <c r="E19" s="298">
        <v>6082</v>
      </c>
      <c r="F19" s="298">
        <v>5477</v>
      </c>
      <c r="G19" s="298">
        <v>12807</v>
      </c>
      <c r="H19" s="299">
        <v>24366</v>
      </c>
      <c r="I19" s="298">
        <v>5949</v>
      </c>
      <c r="J19" s="298">
        <v>5262</v>
      </c>
      <c r="K19" s="298">
        <v>6109</v>
      </c>
      <c r="L19" s="298">
        <v>17320</v>
      </c>
      <c r="M19" s="298">
        <v>6131</v>
      </c>
      <c r="N19" s="298">
        <v>4725</v>
      </c>
      <c r="O19" s="298">
        <v>8611</v>
      </c>
      <c r="P19" s="298">
        <v>19467</v>
      </c>
      <c r="Q19" s="298">
        <v>5332</v>
      </c>
      <c r="R19" s="298">
        <v>4482</v>
      </c>
      <c r="S19" s="298">
        <v>4627</v>
      </c>
      <c r="T19" s="298">
        <v>14441</v>
      </c>
      <c r="U19" s="298">
        <v>75594</v>
      </c>
    </row>
    <row r="20" spans="2:21" ht="16.05" customHeight="1" outlineLevel="1" x14ac:dyDescent="0.45">
      <c r="B20" s="295"/>
      <c r="C20" s="309" t="s">
        <v>92</v>
      </c>
      <c r="D20" s="310"/>
      <c r="E20" s="311">
        <v>862</v>
      </c>
      <c r="F20" s="311">
        <v>2149</v>
      </c>
      <c r="G20" s="311">
        <v>2975</v>
      </c>
      <c r="H20" s="312">
        <v>5986</v>
      </c>
      <c r="I20" s="311">
        <v>1355</v>
      </c>
      <c r="J20" s="311">
        <v>3141</v>
      </c>
      <c r="K20" s="311">
        <v>3196</v>
      </c>
      <c r="L20" s="311">
        <v>7692</v>
      </c>
      <c r="M20" s="311">
        <v>1648</v>
      </c>
      <c r="N20" s="311">
        <v>2512</v>
      </c>
      <c r="O20" s="311">
        <v>1579</v>
      </c>
      <c r="P20" s="311">
        <v>5739</v>
      </c>
      <c r="Q20" s="311">
        <v>1299</v>
      </c>
      <c r="R20" s="311">
        <v>1428</v>
      </c>
      <c r="S20" s="311">
        <v>1789</v>
      </c>
      <c r="T20" s="311">
        <v>4516</v>
      </c>
      <c r="U20" s="311">
        <v>23933</v>
      </c>
    </row>
    <row r="21" spans="2:21" ht="16.05" customHeight="1" outlineLevel="1" x14ac:dyDescent="0.45">
      <c r="B21" s="291" t="s">
        <v>143</v>
      </c>
      <c r="C21" s="315"/>
      <c r="D21" s="315"/>
      <c r="E21" s="316">
        <v>3042</v>
      </c>
      <c r="F21" s="316">
        <v>3133</v>
      </c>
      <c r="G21" s="316">
        <v>3038</v>
      </c>
      <c r="H21" s="317">
        <v>9213</v>
      </c>
      <c r="I21" s="316">
        <v>1825</v>
      </c>
      <c r="J21" s="316">
        <v>1956</v>
      </c>
      <c r="K21" s="316">
        <v>2020</v>
      </c>
      <c r="L21" s="316">
        <v>5801</v>
      </c>
      <c r="M21" s="316">
        <v>1356</v>
      </c>
      <c r="N21" s="316">
        <v>1618</v>
      </c>
      <c r="O21" s="316">
        <v>2075</v>
      </c>
      <c r="P21" s="316">
        <v>5049</v>
      </c>
      <c r="Q21" s="316">
        <v>2034</v>
      </c>
      <c r="R21" s="316">
        <v>2362</v>
      </c>
      <c r="S21" s="316">
        <v>2475</v>
      </c>
      <c r="T21" s="316">
        <v>6871</v>
      </c>
      <c r="U21" s="316">
        <v>26934</v>
      </c>
    </row>
    <row r="22" spans="2:21" ht="16.05" customHeight="1" outlineLevel="1" x14ac:dyDescent="0.45">
      <c r="B22" s="291" t="s">
        <v>117</v>
      </c>
      <c r="C22" s="292"/>
      <c r="D22" s="292"/>
      <c r="E22" s="293">
        <v>43546</v>
      </c>
      <c r="F22" s="293">
        <v>38815</v>
      </c>
      <c r="G22" s="293">
        <v>45675</v>
      </c>
      <c r="H22" s="294">
        <v>128036</v>
      </c>
      <c r="I22" s="293">
        <v>29833</v>
      </c>
      <c r="J22" s="293">
        <v>34140</v>
      </c>
      <c r="K22" s="293">
        <v>34003</v>
      </c>
      <c r="L22" s="293">
        <v>97976</v>
      </c>
      <c r="M22" s="293">
        <v>34179</v>
      </c>
      <c r="N22" s="293">
        <v>32861</v>
      </c>
      <c r="O22" s="293">
        <v>32228</v>
      </c>
      <c r="P22" s="293">
        <v>99268</v>
      </c>
      <c r="Q22" s="293">
        <v>34092</v>
      </c>
      <c r="R22" s="293">
        <v>36214</v>
      </c>
      <c r="S22" s="293">
        <v>46441</v>
      </c>
      <c r="T22" s="293">
        <v>116747</v>
      </c>
      <c r="U22" s="293">
        <v>442027</v>
      </c>
    </row>
    <row r="23" spans="2:21" ht="16.05" customHeight="1" outlineLevel="1" x14ac:dyDescent="0.45">
      <c r="B23" s="295"/>
      <c r="C23" s="296" t="s">
        <v>77</v>
      </c>
      <c r="D23" s="297"/>
      <c r="E23" s="298">
        <v>8298</v>
      </c>
      <c r="F23" s="298">
        <v>8591</v>
      </c>
      <c r="G23" s="298">
        <v>8219</v>
      </c>
      <c r="H23" s="299">
        <v>25108</v>
      </c>
      <c r="I23" s="298">
        <v>5743</v>
      </c>
      <c r="J23" s="298">
        <v>6534</v>
      </c>
      <c r="K23" s="298">
        <v>6127</v>
      </c>
      <c r="L23" s="298">
        <v>18404</v>
      </c>
      <c r="M23" s="298">
        <v>5446</v>
      </c>
      <c r="N23" s="298">
        <v>5006</v>
      </c>
      <c r="O23" s="298">
        <v>4367</v>
      </c>
      <c r="P23" s="298">
        <v>14819</v>
      </c>
      <c r="Q23" s="298">
        <v>4145</v>
      </c>
      <c r="R23" s="298">
        <v>4942</v>
      </c>
      <c r="S23" s="298">
        <v>9405</v>
      </c>
      <c r="T23" s="298">
        <v>18492</v>
      </c>
      <c r="U23" s="298">
        <v>76823</v>
      </c>
    </row>
    <row r="24" spans="2:21" ht="16.05" customHeight="1" outlineLevel="1" x14ac:dyDescent="0.45">
      <c r="B24" s="295"/>
      <c r="C24" s="309" t="s">
        <v>81</v>
      </c>
      <c r="D24" s="310"/>
      <c r="E24" s="311">
        <v>7066</v>
      </c>
      <c r="F24" s="311">
        <v>6220</v>
      </c>
      <c r="G24" s="311">
        <v>8282</v>
      </c>
      <c r="H24" s="312">
        <v>21568</v>
      </c>
      <c r="I24" s="311">
        <v>4736</v>
      </c>
      <c r="J24" s="311">
        <v>6374</v>
      </c>
      <c r="K24" s="311">
        <v>6538</v>
      </c>
      <c r="L24" s="311">
        <v>17648</v>
      </c>
      <c r="M24" s="311">
        <v>6906</v>
      </c>
      <c r="N24" s="311">
        <v>7388</v>
      </c>
      <c r="O24" s="311">
        <v>5876</v>
      </c>
      <c r="P24" s="311">
        <v>20170</v>
      </c>
      <c r="Q24" s="311">
        <v>6041</v>
      </c>
      <c r="R24" s="311">
        <v>6798</v>
      </c>
      <c r="S24" s="311">
        <v>9454</v>
      </c>
      <c r="T24" s="311">
        <v>22293</v>
      </c>
      <c r="U24" s="311">
        <v>81679</v>
      </c>
    </row>
    <row r="25" spans="2:21" ht="16.05" customHeight="1" outlineLevel="1" x14ac:dyDescent="0.45">
      <c r="B25" s="295"/>
      <c r="C25" s="309" t="s">
        <v>79</v>
      </c>
      <c r="D25" s="310"/>
      <c r="E25" s="311">
        <v>10019</v>
      </c>
      <c r="F25" s="311">
        <v>9019</v>
      </c>
      <c r="G25" s="311">
        <v>10423</v>
      </c>
      <c r="H25" s="312">
        <v>29461</v>
      </c>
      <c r="I25" s="311">
        <v>6441</v>
      </c>
      <c r="J25" s="311">
        <v>7805</v>
      </c>
      <c r="K25" s="311">
        <v>7625</v>
      </c>
      <c r="L25" s="311">
        <v>21871</v>
      </c>
      <c r="M25" s="311">
        <v>7709</v>
      </c>
      <c r="N25" s="311">
        <v>8515</v>
      </c>
      <c r="O25" s="311">
        <v>7609</v>
      </c>
      <c r="P25" s="311">
        <v>23833</v>
      </c>
      <c r="Q25" s="311">
        <v>8048</v>
      </c>
      <c r="R25" s="311">
        <v>8765</v>
      </c>
      <c r="S25" s="311">
        <v>10696</v>
      </c>
      <c r="T25" s="311">
        <v>27509</v>
      </c>
      <c r="U25" s="311">
        <v>102674</v>
      </c>
    </row>
    <row r="26" spans="2:21" ht="16.05" customHeight="1" outlineLevel="1" x14ac:dyDescent="0.45">
      <c r="B26" s="295"/>
      <c r="C26" s="309" t="s">
        <v>89</v>
      </c>
      <c r="D26" s="310"/>
      <c r="E26" s="311">
        <v>8290</v>
      </c>
      <c r="F26" s="311">
        <v>6948</v>
      </c>
      <c r="G26" s="311">
        <v>7241</v>
      </c>
      <c r="H26" s="312">
        <v>22479</v>
      </c>
      <c r="I26" s="311">
        <v>5246</v>
      </c>
      <c r="J26" s="311">
        <v>5660</v>
      </c>
      <c r="K26" s="311">
        <v>5554</v>
      </c>
      <c r="L26" s="311">
        <v>16460</v>
      </c>
      <c r="M26" s="311">
        <v>5024</v>
      </c>
      <c r="N26" s="311">
        <v>5371</v>
      </c>
      <c r="O26" s="311">
        <v>4799</v>
      </c>
      <c r="P26" s="311">
        <v>15194</v>
      </c>
      <c r="Q26" s="311">
        <v>6251</v>
      </c>
      <c r="R26" s="311">
        <v>5133</v>
      </c>
      <c r="S26" s="311">
        <v>6689</v>
      </c>
      <c r="T26" s="311">
        <v>18073</v>
      </c>
      <c r="U26" s="311">
        <v>72206</v>
      </c>
    </row>
    <row r="27" spans="2:21" ht="16.05" customHeight="1" outlineLevel="1" x14ac:dyDescent="0.45">
      <c r="B27" s="300"/>
      <c r="C27" s="301" t="s">
        <v>92</v>
      </c>
      <c r="D27" s="302"/>
      <c r="E27" s="303">
        <v>9873</v>
      </c>
      <c r="F27" s="303">
        <v>8037</v>
      </c>
      <c r="G27" s="303">
        <v>11510</v>
      </c>
      <c r="H27" s="304">
        <v>29420</v>
      </c>
      <c r="I27" s="303">
        <v>7667</v>
      </c>
      <c r="J27" s="303">
        <v>7767</v>
      </c>
      <c r="K27" s="303">
        <v>8159</v>
      </c>
      <c r="L27" s="303">
        <v>23593</v>
      </c>
      <c r="M27" s="303">
        <v>9094</v>
      </c>
      <c r="N27" s="303">
        <v>6581</v>
      </c>
      <c r="O27" s="303">
        <v>9577</v>
      </c>
      <c r="P27" s="303">
        <v>25252</v>
      </c>
      <c r="Q27" s="303">
        <v>9607</v>
      </c>
      <c r="R27" s="303">
        <v>10576</v>
      </c>
      <c r="S27" s="303">
        <v>10197</v>
      </c>
      <c r="T27" s="303">
        <v>30380</v>
      </c>
      <c r="U27" s="303">
        <v>108645</v>
      </c>
    </row>
    <row r="28" spans="2:21" ht="16.05" customHeight="1" outlineLevel="1" x14ac:dyDescent="0.45">
      <c r="B28" s="291" t="s">
        <v>91</v>
      </c>
      <c r="C28" s="292"/>
      <c r="D28" s="292"/>
      <c r="E28" s="293">
        <v>101139</v>
      </c>
      <c r="F28" s="293">
        <v>45674</v>
      </c>
      <c r="G28" s="293">
        <v>60577</v>
      </c>
      <c r="H28" s="294">
        <v>207390</v>
      </c>
      <c r="I28" s="293">
        <v>73974</v>
      </c>
      <c r="J28" s="293">
        <v>66332</v>
      </c>
      <c r="K28" s="293">
        <v>69112</v>
      </c>
      <c r="L28" s="293">
        <v>209418</v>
      </c>
      <c r="M28" s="293">
        <v>52757</v>
      </c>
      <c r="N28" s="293">
        <v>57091</v>
      </c>
      <c r="O28" s="293">
        <v>62750</v>
      </c>
      <c r="P28" s="293">
        <v>172598</v>
      </c>
      <c r="Q28" s="293">
        <v>75452</v>
      </c>
      <c r="R28" s="293">
        <v>76904</v>
      </c>
      <c r="S28" s="293">
        <v>111956</v>
      </c>
      <c r="T28" s="293">
        <v>264312</v>
      </c>
      <c r="U28" s="293">
        <v>853718</v>
      </c>
    </row>
    <row r="29" spans="2:21" ht="16.05" customHeight="1" outlineLevel="1" x14ac:dyDescent="0.45">
      <c r="B29" s="295"/>
      <c r="C29" s="318" t="s">
        <v>38</v>
      </c>
      <c r="D29" s="319" t="s">
        <v>95</v>
      </c>
      <c r="E29" s="298">
        <v>54082</v>
      </c>
      <c r="F29" s="298">
        <v>24162</v>
      </c>
      <c r="G29" s="298">
        <v>30118</v>
      </c>
      <c r="H29" s="299">
        <v>108362</v>
      </c>
      <c r="I29" s="298">
        <v>33510</v>
      </c>
      <c r="J29" s="298">
        <v>40134</v>
      </c>
      <c r="K29" s="298">
        <v>34527</v>
      </c>
      <c r="L29" s="298">
        <v>108171</v>
      </c>
      <c r="M29" s="298">
        <v>31085</v>
      </c>
      <c r="N29" s="298">
        <v>32462</v>
      </c>
      <c r="O29" s="298">
        <v>35202</v>
      </c>
      <c r="P29" s="298">
        <v>98749</v>
      </c>
      <c r="Q29" s="298">
        <v>39883</v>
      </c>
      <c r="R29" s="298">
        <v>39660</v>
      </c>
      <c r="S29" s="298">
        <v>65413</v>
      </c>
      <c r="T29" s="298">
        <v>144956</v>
      </c>
      <c r="U29" s="298">
        <v>460238</v>
      </c>
    </row>
    <row r="30" spans="2:21" ht="16.05" customHeight="1" outlineLevel="1" x14ac:dyDescent="0.45">
      <c r="B30" s="295"/>
      <c r="C30" s="320"/>
      <c r="D30" s="321" t="s">
        <v>97</v>
      </c>
      <c r="E30" s="322">
        <v>46879</v>
      </c>
      <c r="F30" s="322">
        <v>21336</v>
      </c>
      <c r="G30" s="322">
        <v>30331</v>
      </c>
      <c r="H30" s="323">
        <v>98546</v>
      </c>
      <c r="I30" s="322">
        <v>40320</v>
      </c>
      <c r="J30" s="322">
        <v>26068</v>
      </c>
      <c r="K30" s="322">
        <v>34439</v>
      </c>
      <c r="L30" s="322">
        <v>100827</v>
      </c>
      <c r="M30" s="322">
        <v>21482</v>
      </c>
      <c r="N30" s="322">
        <v>24497</v>
      </c>
      <c r="O30" s="322">
        <v>27384</v>
      </c>
      <c r="P30" s="322">
        <v>73363</v>
      </c>
      <c r="Q30" s="322">
        <v>35379</v>
      </c>
      <c r="R30" s="322">
        <v>37081</v>
      </c>
      <c r="S30" s="322">
        <v>46422</v>
      </c>
      <c r="T30" s="322">
        <v>118882</v>
      </c>
      <c r="U30" s="322">
        <v>391618</v>
      </c>
    </row>
    <row r="31" spans="2:21" ht="16.05" customHeight="1" outlineLevel="1" x14ac:dyDescent="0.45">
      <c r="B31" s="295"/>
      <c r="C31" s="324" t="s">
        <v>92</v>
      </c>
      <c r="D31" s="325"/>
      <c r="E31" s="326">
        <v>178</v>
      </c>
      <c r="F31" s="326">
        <v>176</v>
      </c>
      <c r="G31" s="326">
        <v>128</v>
      </c>
      <c r="H31" s="327">
        <v>482</v>
      </c>
      <c r="I31" s="326">
        <v>144</v>
      </c>
      <c r="J31" s="326">
        <v>130</v>
      </c>
      <c r="K31" s="326">
        <v>146</v>
      </c>
      <c r="L31" s="326">
        <v>420</v>
      </c>
      <c r="M31" s="326">
        <v>190</v>
      </c>
      <c r="N31" s="326">
        <v>132</v>
      </c>
      <c r="O31" s="326">
        <v>164</v>
      </c>
      <c r="P31" s="326">
        <v>486</v>
      </c>
      <c r="Q31" s="326">
        <v>190</v>
      </c>
      <c r="R31" s="326">
        <v>163</v>
      </c>
      <c r="S31" s="326">
        <v>121</v>
      </c>
      <c r="T31" s="326">
        <v>474</v>
      </c>
      <c r="U31" s="326">
        <v>1862</v>
      </c>
    </row>
    <row r="32" spans="2:21" ht="6" customHeight="1" outlineLevel="1" thickBot="1" x14ac:dyDescent="0.5">
      <c r="B32" s="328"/>
      <c r="C32" s="329"/>
      <c r="D32" s="329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30"/>
    </row>
    <row r="33" spans="2:28" ht="16.8" outlineLevel="1" thickBot="1" x14ac:dyDescent="0.5">
      <c r="B33" s="331" t="s">
        <v>119</v>
      </c>
      <c r="C33" s="332"/>
      <c r="D33" s="332"/>
      <c r="E33" s="510">
        <v>320188</v>
      </c>
      <c r="F33" s="510">
        <v>283583</v>
      </c>
      <c r="G33" s="510">
        <v>352982</v>
      </c>
      <c r="H33" s="510">
        <v>956753</v>
      </c>
      <c r="I33" s="510">
        <v>302511</v>
      </c>
      <c r="J33" s="510">
        <v>310875</v>
      </c>
      <c r="K33" s="510">
        <v>309418</v>
      </c>
      <c r="L33" s="510">
        <v>922804</v>
      </c>
      <c r="M33" s="510">
        <v>302625</v>
      </c>
      <c r="N33" s="510">
        <v>311461</v>
      </c>
      <c r="O33" s="510">
        <v>307426</v>
      </c>
      <c r="P33" s="510">
        <v>921512</v>
      </c>
      <c r="Q33" s="510">
        <v>309667</v>
      </c>
      <c r="R33" s="510">
        <v>324504</v>
      </c>
      <c r="S33" s="510">
        <v>373897</v>
      </c>
      <c r="T33" s="510">
        <v>1008068</v>
      </c>
      <c r="U33" s="511">
        <v>3809137</v>
      </c>
    </row>
    <row r="34" spans="2:28" outlineLevel="1" x14ac:dyDescent="0.45">
      <c r="B34" s="201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</row>
    <row r="35" spans="2:28" s="333" customFormat="1" ht="16.2" outlineLevel="1" x14ac:dyDescent="0.45">
      <c r="B35" s="291" t="s">
        <v>121</v>
      </c>
      <c r="C35" s="292"/>
      <c r="D35" s="292"/>
      <c r="E35" s="293">
        <v>174976</v>
      </c>
      <c r="F35" s="293">
        <v>157067</v>
      </c>
      <c r="G35" s="293">
        <v>192589</v>
      </c>
      <c r="H35" s="293">
        <v>524632</v>
      </c>
      <c r="I35" s="293">
        <v>173482</v>
      </c>
      <c r="J35" s="293">
        <v>174627</v>
      </c>
      <c r="K35" s="293">
        <v>169261</v>
      </c>
      <c r="L35" s="293">
        <v>517370</v>
      </c>
      <c r="M35" s="293">
        <v>159162</v>
      </c>
      <c r="N35" s="293">
        <v>172445</v>
      </c>
      <c r="O35" s="293">
        <v>158782</v>
      </c>
      <c r="P35" s="293">
        <v>490389</v>
      </c>
      <c r="Q35" s="293">
        <v>162354</v>
      </c>
      <c r="R35" s="293">
        <v>173436</v>
      </c>
      <c r="S35" s="293">
        <v>201887</v>
      </c>
      <c r="T35" s="293">
        <v>537677</v>
      </c>
      <c r="U35" s="293">
        <v>2070068</v>
      </c>
    </row>
    <row r="36" spans="2:28" s="333" customFormat="1" ht="16.2" outlineLevel="1" x14ac:dyDescent="0.45">
      <c r="B36" s="334"/>
      <c r="C36" s="296" t="s">
        <v>123</v>
      </c>
      <c r="D36" s="297"/>
      <c r="E36" s="298">
        <v>30326</v>
      </c>
      <c r="F36" s="298">
        <v>22673</v>
      </c>
      <c r="G36" s="298">
        <v>27483</v>
      </c>
      <c r="H36" s="298">
        <v>80482</v>
      </c>
      <c r="I36" s="298">
        <v>25124</v>
      </c>
      <c r="J36" s="298">
        <v>29152</v>
      </c>
      <c r="K36" s="298">
        <v>26396</v>
      </c>
      <c r="L36" s="298">
        <v>80672</v>
      </c>
      <c r="M36" s="298">
        <v>26376</v>
      </c>
      <c r="N36" s="298">
        <v>28840</v>
      </c>
      <c r="O36" s="298">
        <v>27267</v>
      </c>
      <c r="P36" s="298">
        <v>82483</v>
      </c>
      <c r="Q36" s="298">
        <v>26622</v>
      </c>
      <c r="R36" s="298">
        <v>28747</v>
      </c>
      <c r="S36" s="298">
        <v>42560</v>
      </c>
      <c r="T36" s="298">
        <v>97929</v>
      </c>
      <c r="U36" s="298">
        <v>341566</v>
      </c>
    </row>
    <row r="37" spans="2:28" s="333" customFormat="1" ht="16.2" outlineLevel="1" x14ac:dyDescent="0.45">
      <c r="B37" s="334"/>
      <c r="C37" s="309" t="s">
        <v>125</v>
      </c>
      <c r="D37" s="310"/>
      <c r="E37" s="311">
        <v>36249</v>
      </c>
      <c r="F37" s="311">
        <v>35863</v>
      </c>
      <c r="G37" s="311">
        <v>43681</v>
      </c>
      <c r="H37" s="311">
        <v>115793</v>
      </c>
      <c r="I37" s="311">
        <v>41253</v>
      </c>
      <c r="J37" s="311">
        <v>37318</v>
      </c>
      <c r="K37" s="311">
        <v>35378</v>
      </c>
      <c r="L37" s="311">
        <v>113949</v>
      </c>
      <c r="M37" s="311">
        <v>30847</v>
      </c>
      <c r="N37" s="311">
        <v>34396</v>
      </c>
      <c r="O37" s="311">
        <v>30255</v>
      </c>
      <c r="P37" s="311">
        <v>95498</v>
      </c>
      <c r="Q37" s="311">
        <v>32288</v>
      </c>
      <c r="R37" s="311">
        <v>37295</v>
      </c>
      <c r="S37" s="311">
        <v>41551</v>
      </c>
      <c r="T37" s="311">
        <v>111134</v>
      </c>
      <c r="U37" s="311">
        <v>436374</v>
      </c>
    </row>
    <row r="38" spans="2:28" s="333" customFormat="1" ht="16.2" outlineLevel="1" x14ac:dyDescent="0.45">
      <c r="B38" s="334"/>
      <c r="C38" s="309" t="s">
        <v>127</v>
      </c>
      <c r="D38" s="310"/>
      <c r="E38" s="311">
        <v>56124</v>
      </c>
      <c r="F38" s="311">
        <v>50875</v>
      </c>
      <c r="G38" s="311">
        <v>63617</v>
      </c>
      <c r="H38" s="311">
        <v>170616</v>
      </c>
      <c r="I38" s="311">
        <v>58442</v>
      </c>
      <c r="J38" s="311">
        <v>61212</v>
      </c>
      <c r="K38" s="311">
        <v>60505</v>
      </c>
      <c r="L38" s="311">
        <v>180159</v>
      </c>
      <c r="M38" s="311">
        <v>56615</v>
      </c>
      <c r="N38" s="311">
        <v>63238</v>
      </c>
      <c r="O38" s="311">
        <v>56215</v>
      </c>
      <c r="P38" s="311">
        <v>176068</v>
      </c>
      <c r="Q38" s="311">
        <v>60549</v>
      </c>
      <c r="R38" s="311">
        <v>64362</v>
      </c>
      <c r="S38" s="311">
        <v>72711</v>
      </c>
      <c r="T38" s="311">
        <v>197622</v>
      </c>
      <c r="U38" s="311">
        <v>724465</v>
      </c>
    </row>
    <row r="39" spans="2:28" s="333" customFormat="1" ht="16.5" customHeight="1" outlineLevel="1" x14ac:dyDescent="0.45">
      <c r="B39" s="335"/>
      <c r="C39" s="301" t="s">
        <v>129</v>
      </c>
      <c r="D39" s="302"/>
      <c r="E39" s="303">
        <v>52277</v>
      </c>
      <c r="F39" s="303">
        <v>47656</v>
      </c>
      <c r="G39" s="303">
        <v>57808</v>
      </c>
      <c r="H39" s="303">
        <v>157741</v>
      </c>
      <c r="I39" s="303">
        <v>48663</v>
      </c>
      <c r="J39" s="303">
        <v>46945</v>
      </c>
      <c r="K39" s="303">
        <v>46982</v>
      </c>
      <c r="L39" s="303">
        <v>142590</v>
      </c>
      <c r="M39" s="303">
        <v>45324</v>
      </c>
      <c r="N39" s="303">
        <v>45971</v>
      </c>
      <c r="O39" s="303">
        <v>45045</v>
      </c>
      <c r="P39" s="303">
        <v>136340</v>
      </c>
      <c r="Q39" s="303">
        <v>42895</v>
      </c>
      <c r="R39" s="303">
        <v>43032</v>
      </c>
      <c r="S39" s="303">
        <v>45065</v>
      </c>
      <c r="T39" s="303">
        <v>130992</v>
      </c>
      <c r="U39" s="303">
        <v>567663</v>
      </c>
    </row>
    <row r="40" spans="2:28" s="333" customFormat="1" ht="16.2" outlineLevel="1" x14ac:dyDescent="0.45">
      <c r="B40" s="336"/>
      <c r="C40" s="573" t="s">
        <v>144</v>
      </c>
      <c r="D40" s="337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</row>
    <row r="41" spans="2:28" x14ac:dyDescent="0.45">
      <c r="B41" s="198"/>
      <c r="C41" s="199"/>
      <c r="D41" s="199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</row>
    <row r="42" spans="2:28" ht="16.2" x14ac:dyDescent="0.45">
      <c r="B42" s="597">
        <f>E43</f>
        <v>2025</v>
      </c>
      <c r="C42" s="5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221"/>
    </row>
    <row r="43" spans="2:28" s="333" customFormat="1" ht="16.05" customHeight="1" x14ac:dyDescent="0.45">
      <c r="B43" s="318"/>
      <c r="C43" s="339"/>
      <c r="D43" s="339"/>
      <c r="E43" s="598">
        <f>E4+1</f>
        <v>2025</v>
      </c>
      <c r="F43" s="599"/>
      <c r="G43" s="599"/>
      <c r="H43" s="599"/>
      <c r="I43" s="599"/>
      <c r="J43" s="599"/>
      <c r="K43" s="599"/>
      <c r="L43" s="599"/>
      <c r="M43" s="599"/>
      <c r="N43" s="599"/>
      <c r="O43" s="599"/>
      <c r="P43" s="599"/>
      <c r="Q43" s="599"/>
      <c r="R43" s="599"/>
      <c r="S43" s="599"/>
      <c r="T43" s="599"/>
      <c r="U43" s="600"/>
    </row>
    <row r="44" spans="2:28" s="333" customFormat="1" ht="16.05" customHeight="1" x14ac:dyDescent="0.45">
      <c r="B44" s="340"/>
      <c r="C44" s="341"/>
      <c r="D44" s="341"/>
      <c r="E44" s="342"/>
      <c r="F44" s="343"/>
      <c r="G44" s="343"/>
      <c r="H44" s="593" t="s">
        <v>169</v>
      </c>
      <c r="I44" s="343"/>
      <c r="J44" s="343"/>
      <c r="K44" s="343"/>
      <c r="L44" s="593" t="s">
        <v>170</v>
      </c>
      <c r="M44" s="343"/>
      <c r="N44" s="343"/>
      <c r="O44" s="343"/>
      <c r="P44" s="593" t="s">
        <v>171</v>
      </c>
      <c r="Q44" s="343"/>
      <c r="R44" s="343"/>
      <c r="S44" s="343"/>
      <c r="T44" s="593" t="s">
        <v>172</v>
      </c>
      <c r="U44" s="215">
        <f>E43</f>
        <v>2025</v>
      </c>
    </row>
    <row r="45" spans="2:28" s="333" customFormat="1" ht="16.05" customHeight="1" x14ac:dyDescent="0.45">
      <c r="B45" s="320"/>
      <c r="C45" s="344"/>
      <c r="D45" s="344"/>
      <c r="E45" s="219" t="str">
        <f>E6</f>
        <v>1月/Jan.</v>
      </c>
      <c r="F45" s="219" t="str">
        <f>F6</f>
        <v>2月/Feb.</v>
      </c>
      <c r="G45" s="219" t="str">
        <f>G6</f>
        <v>3月/Mar.</v>
      </c>
      <c r="H45" s="594"/>
      <c r="I45" s="219" t="str">
        <f>I6</f>
        <v>4月/Apr.</v>
      </c>
      <c r="J45" s="219" t="str">
        <f>J6</f>
        <v>5月/May</v>
      </c>
      <c r="K45" s="219" t="str">
        <f>K6</f>
        <v>6月/Jun.</v>
      </c>
      <c r="L45" s="594"/>
      <c r="M45" s="219" t="str">
        <f>M6</f>
        <v>7月/Jul.</v>
      </c>
      <c r="N45" s="219" t="str">
        <f>N6</f>
        <v>8月/Aug.</v>
      </c>
      <c r="O45" s="219" t="str">
        <f>O6</f>
        <v>9月/Sep.</v>
      </c>
      <c r="P45" s="594"/>
      <c r="Q45" s="219" t="str">
        <f>Q6</f>
        <v>10月/Oct.</v>
      </c>
      <c r="R45" s="219" t="str">
        <f>R6</f>
        <v>11月/Nov.</v>
      </c>
      <c r="S45" s="219" t="str">
        <f>S6</f>
        <v>12月/Dec.</v>
      </c>
      <c r="T45" s="594"/>
      <c r="U45" s="220" t="s">
        <v>39</v>
      </c>
    </row>
    <row r="46" spans="2:28" s="333" customFormat="1" ht="16.05" customHeight="1" outlineLevel="1" x14ac:dyDescent="0.45">
      <c r="B46" s="291" t="s">
        <v>55</v>
      </c>
      <c r="C46" s="292"/>
      <c r="D46" s="292"/>
      <c r="E46" s="345">
        <v>50335</v>
      </c>
      <c r="F46" s="345">
        <v>57393</v>
      </c>
      <c r="G46" s="345">
        <v>76324</v>
      </c>
      <c r="H46" s="345">
        <v>184052</v>
      </c>
      <c r="I46" s="345">
        <v>45082</v>
      </c>
      <c r="J46" s="345">
        <v>41298</v>
      </c>
      <c r="K46" s="345">
        <v>49263</v>
      </c>
      <c r="L46" s="345">
        <v>135643</v>
      </c>
      <c r="M46" s="345">
        <v>52438</v>
      </c>
      <c r="N46" s="345">
        <v>41220</v>
      </c>
      <c r="O46" s="345">
        <v>63754</v>
      </c>
      <c r="P46" s="345">
        <v>157412</v>
      </c>
      <c r="Q46" s="345">
        <v>48955</v>
      </c>
      <c r="R46" s="345">
        <v>0</v>
      </c>
      <c r="S46" s="345">
        <v>0</v>
      </c>
      <c r="T46" s="345">
        <v>48955</v>
      </c>
      <c r="U46" s="345">
        <v>526062</v>
      </c>
      <c r="Z46" s="346"/>
      <c r="AB46" s="346"/>
    </row>
    <row r="47" spans="2:28" s="333" customFormat="1" ht="16.05" customHeight="1" outlineLevel="1" x14ac:dyDescent="0.45">
      <c r="B47" s="295"/>
      <c r="C47" s="296" t="s">
        <v>108</v>
      </c>
      <c r="D47" s="297"/>
      <c r="E47" s="347">
        <v>28406</v>
      </c>
      <c r="F47" s="347">
        <v>32763</v>
      </c>
      <c r="G47" s="347">
        <v>44876</v>
      </c>
      <c r="H47" s="347">
        <v>106045</v>
      </c>
      <c r="I47" s="347">
        <v>24611</v>
      </c>
      <c r="J47" s="347">
        <v>22276</v>
      </c>
      <c r="K47" s="347">
        <v>27016</v>
      </c>
      <c r="L47" s="347">
        <v>73903</v>
      </c>
      <c r="M47" s="347">
        <v>29561</v>
      </c>
      <c r="N47" s="347">
        <v>21038</v>
      </c>
      <c r="O47" s="347">
        <v>31345</v>
      </c>
      <c r="P47" s="347">
        <v>81944</v>
      </c>
      <c r="Q47" s="347">
        <v>28629</v>
      </c>
      <c r="R47" s="347">
        <v>0</v>
      </c>
      <c r="S47" s="347">
        <v>0</v>
      </c>
      <c r="T47" s="347">
        <v>28629</v>
      </c>
      <c r="U47" s="347">
        <v>290521</v>
      </c>
      <c r="Z47" s="346"/>
      <c r="AB47" s="346"/>
    </row>
    <row r="48" spans="2:28" s="333" customFormat="1" ht="16.05" customHeight="1" outlineLevel="1" x14ac:dyDescent="0.45">
      <c r="B48" s="300"/>
      <c r="C48" s="301" t="s">
        <v>110</v>
      </c>
      <c r="D48" s="302"/>
      <c r="E48" s="348">
        <v>21929</v>
      </c>
      <c r="F48" s="348">
        <v>24630</v>
      </c>
      <c r="G48" s="348">
        <v>31448</v>
      </c>
      <c r="H48" s="348">
        <v>78007</v>
      </c>
      <c r="I48" s="348">
        <v>20471</v>
      </c>
      <c r="J48" s="348">
        <v>19022</v>
      </c>
      <c r="K48" s="348">
        <v>22247</v>
      </c>
      <c r="L48" s="348">
        <v>61740</v>
      </c>
      <c r="M48" s="348">
        <v>22877</v>
      </c>
      <c r="N48" s="348">
        <v>20182</v>
      </c>
      <c r="O48" s="348">
        <v>32409</v>
      </c>
      <c r="P48" s="348">
        <v>75468</v>
      </c>
      <c r="Q48" s="348">
        <v>20326</v>
      </c>
      <c r="R48" s="348">
        <v>0</v>
      </c>
      <c r="S48" s="348">
        <v>0</v>
      </c>
      <c r="T48" s="348">
        <v>20326</v>
      </c>
      <c r="U48" s="348">
        <v>235541</v>
      </c>
      <c r="Z48" s="346"/>
      <c r="AB48" s="346"/>
    </row>
    <row r="49" spans="2:28" s="333" customFormat="1" ht="16.05" customHeight="1" outlineLevel="1" x14ac:dyDescent="0.45">
      <c r="B49" s="305" t="s">
        <v>58</v>
      </c>
      <c r="C49" s="306"/>
      <c r="D49" s="306"/>
      <c r="E49" s="349">
        <v>110666</v>
      </c>
      <c r="F49" s="349">
        <v>121038</v>
      </c>
      <c r="G49" s="349">
        <v>166897</v>
      </c>
      <c r="H49" s="349">
        <v>398601</v>
      </c>
      <c r="I49" s="349">
        <v>156928</v>
      </c>
      <c r="J49" s="349">
        <v>154852</v>
      </c>
      <c r="K49" s="349">
        <v>130838</v>
      </c>
      <c r="L49" s="349">
        <v>442618</v>
      </c>
      <c r="M49" s="349">
        <v>136994</v>
      </c>
      <c r="N49" s="349">
        <v>149249</v>
      </c>
      <c r="O49" s="349">
        <v>121337</v>
      </c>
      <c r="P49" s="349">
        <v>407580</v>
      </c>
      <c r="Q49" s="349">
        <v>127623</v>
      </c>
      <c r="R49" s="349">
        <v>0</v>
      </c>
      <c r="S49" s="349">
        <v>0</v>
      </c>
      <c r="T49" s="349">
        <v>127623</v>
      </c>
      <c r="U49" s="349">
        <v>1376422</v>
      </c>
      <c r="Z49" s="346"/>
      <c r="AB49" s="346"/>
    </row>
    <row r="50" spans="2:28" s="333" customFormat="1" ht="16.05" customHeight="1" outlineLevel="1" x14ac:dyDescent="0.45">
      <c r="B50" s="295"/>
      <c r="C50" s="296" t="s">
        <v>114</v>
      </c>
      <c r="D50" s="297"/>
      <c r="E50" s="347">
        <v>96774</v>
      </c>
      <c r="F50" s="347">
        <v>107011</v>
      </c>
      <c r="G50" s="347">
        <v>147792</v>
      </c>
      <c r="H50" s="347">
        <v>351577</v>
      </c>
      <c r="I50" s="347">
        <v>137656</v>
      </c>
      <c r="J50" s="347">
        <v>135432</v>
      </c>
      <c r="K50" s="347">
        <v>114486</v>
      </c>
      <c r="L50" s="347">
        <v>387574</v>
      </c>
      <c r="M50" s="347">
        <v>121017</v>
      </c>
      <c r="N50" s="347">
        <v>132734</v>
      </c>
      <c r="O50" s="347">
        <v>105097</v>
      </c>
      <c r="P50" s="347">
        <v>358848</v>
      </c>
      <c r="Q50" s="347">
        <v>111095</v>
      </c>
      <c r="R50" s="347">
        <v>0</v>
      </c>
      <c r="S50" s="347">
        <v>0</v>
      </c>
      <c r="T50" s="347">
        <v>111095</v>
      </c>
      <c r="U50" s="347">
        <v>1209094</v>
      </c>
      <c r="Z50" s="346"/>
      <c r="AB50" s="346"/>
    </row>
    <row r="51" spans="2:28" s="333" customFormat="1" ht="16.05" customHeight="1" outlineLevel="1" x14ac:dyDescent="0.45">
      <c r="B51" s="295"/>
      <c r="C51" s="309" t="s">
        <v>66</v>
      </c>
      <c r="D51" s="310"/>
      <c r="E51" s="350">
        <v>9317</v>
      </c>
      <c r="F51" s="350">
        <v>9526</v>
      </c>
      <c r="G51" s="350">
        <v>14082</v>
      </c>
      <c r="H51" s="350">
        <v>32925</v>
      </c>
      <c r="I51" s="350">
        <v>15797</v>
      </c>
      <c r="J51" s="350">
        <v>15219</v>
      </c>
      <c r="K51" s="350">
        <v>12513</v>
      </c>
      <c r="L51" s="350">
        <v>43529</v>
      </c>
      <c r="M51" s="350">
        <v>12029</v>
      </c>
      <c r="N51" s="350">
        <v>12364</v>
      </c>
      <c r="O51" s="350">
        <v>11891</v>
      </c>
      <c r="P51" s="350">
        <v>36284</v>
      </c>
      <c r="Q51" s="350">
        <v>11440</v>
      </c>
      <c r="R51" s="350">
        <v>0</v>
      </c>
      <c r="S51" s="350">
        <v>0</v>
      </c>
      <c r="T51" s="350">
        <v>11440</v>
      </c>
      <c r="U51" s="350">
        <v>124178</v>
      </c>
      <c r="Z51" s="346"/>
      <c r="AB51" s="346"/>
    </row>
    <row r="52" spans="2:28" s="333" customFormat="1" ht="16.05" customHeight="1" outlineLevel="1" x14ac:dyDescent="0.45">
      <c r="B52" s="295"/>
      <c r="C52" s="309" t="s">
        <v>68</v>
      </c>
      <c r="D52" s="310"/>
      <c r="E52" s="350">
        <v>3502</v>
      </c>
      <c r="F52" s="350">
        <v>3351</v>
      </c>
      <c r="G52" s="350">
        <v>3881</v>
      </c>
      <c r="H52" s="350">
        <v>10734</v>
      </c>
      <c r="I52" s="350">
        <v>2462</v>
      </c>
      <c r="J52" s="350">
        <v>3106</v>
      </c>
      <c r="K52" s="350">
        <v>2811</v>
      </c>
      <c r="L52" s="350">
        <v>8379</v>
      </c>
      <c r="M52" s="350">
        <v>3069</v>
      </c>
      <c r="N52" s="350">
        <v>3203</v>
      </c>
      <c r="O52" s="350">
        <v>3386</v>
      </c>
      <c r="P52" s="350">
        <v>9658</v>
      </c>
      <c r="Q52" s="350">
        <v>3933</v>
      </c>
      <c r="R52" s="350">
        <v>0</v>
      </c>
      <c r="S52" s="350">
        <v>0</v>
      </c>
      <c r="T52" s="350">
        <v>3933</v>
      </c>
      <c r="U52" s="350">
        <v>32704</v>
      </c>
      <c r="Z52" s="346"/>
      <c r="AB52" s="346"/>
    </row>
    <row r="53" spans="2:28" s="333" customFormat="1" ht="16.05" customHeight="1" outlineLevel="1" x14ac:dyDescent="0.45">
      <c r="B53" s="295"/>
      <c r="C53" s="301" t="s">
        <v>92</v>
      </c>
      <c r="D53" s="302"/>
      <c r="E53" s="348">
        <v>1073</v>
      </c>
      <c r="F53" s="348">
        <v>1150</v>
      </c>
      <c r="G53" s="348">
        <v>1142</v>
      </c>
      <c r="H53" s="348">
        <v>3365</v>
      </c>
      <c r="I53" s="348">
        <v>1013</v>
      </c>
      <c r="J53" s="348">
        <v>1095</v>
      </c>
      <c r="K53" s="348">
        <v>1028</v>
      </c>
      <c r="L53" s="348">
        <v>3136</v>
      </c>
      <c r="M53" s="348">
        <v>879</v>
      </c>
      <c r="N53" s="348">
        <v>948</v>
      </c>
      <c r="O53" s="348">
        <v>963</v>
      </c>
      <c r="P53" s="348">
        <v>2790</v>
      </c>
      <c r="Q53" s="348">
        <v>1155</v>
      </c>
      <c r="R53" s="348">
        <v>0</v>
      </c>
      <c r="S53" s="348">
        <v>0</v>
      </c>
      <c r="T53" s="348">
        <v>1155</v>
      </c>
      <c r="U53" s="348">
        <v>10446</v>
      </c>
      <c r="Z53" s="346"/>
      <c r="AB53" s="346"/>
    </row>
    <row r="54" spans="2:28" s="333" customFormat="1" ht="16.05" customHeight="1" outlineLevel="1" x14ac:dyDescent="0.45">
      <c r="B54" s="291" t="s">
        <v>70</v>
      </c>
      <c r="C54" s="292"/>
      <c r="D54" s="292"/>
      <c r="E54" s="345">
        <v>8386</v>
      </c>
      <c r="F54" s="345">
        <v>9312</v>
      </c>
      <c r="G54" s="345">
        <v>9198</v>
      </c>
      <c r="H54" s="345">
        <v>26896</v>
      </c>
      <c r="I54" s="345">
        <v>9280</v>
      </c>
      <c r="J54" s="345">
        <v>10251</v>
      </c>
      <c r="K54" s="345">
        <v>10061</v>
      </c>
      <c r="L54" s="345">
        <v>29592</v>
      </c>
      <c r="M54" s="345">
        <v>8254</v>
      </c>
      <c r="N54" s="345">
        <v>8294</v>
      </c>
      <c r="O54" s="345">
        <v>8809</v>
      </c>
      <c r="P54" s="345">
        <v>25357</v>
      </c>
      <c r="Q54" s="345">
        <v>10967</v>
      </c>
      <c r="R54" s="345">
        <v>0</v>
      </c>
      <c r="S54" s="345">
        <v>0</v>
      </c>
      <c r="T54" s="345">
        <v>10967</v>
      </c>
      <c r="U54" s="345">
        <v>92812</v>
      </c>
      <c r="Z54" s="346"/>
      <c r="AB54" s="346"/>
    </row>
    <row r="55" spans="2:28" s="333" customFormat="1" ht="16.05" customHeight="1" outlineLevel="1" x14ac:dyDescent="0.45">
      <c r="B55" s="313"/>
      <c r="C55" s="296" t="s">
        <v>72</v>
      </c>
      <c r="D55" s="297"/>
      <c r="E55" s="347">
        <v>8138</v>
      </c>
      <c r="F55" s="347">
        <v>8316</v>
      </c>
      <c r="G55" s="347">
        <v>8227</v>
      </c>
      <c r="H55" s="347">
        <v>24681</v>
      </c>
      <c r="I55" s="347">
        <v>8299</v>
      </c>
      <c r="J55" s="347">
        <v>9260</v>
      </c>
      <c r="K55" s="347">
        <v>9188</v>
      </c>
      <c r="L55" s="347">
        <v>26747</v>
      </c>
      <c r="M55" s="347">
        <v>7433</v>
      </c>
      <c r="N55" s="347">
        <v>7474</v>
      </c>
      <c r="O55" s="347">
        <v>7982</v>
      </c>
      <c r="P55" s="347">
        <v>22889</v>
      </c>
      <c r="Q55" s="347">
        <v>10087</v>
      </c>
      <c r="R55" s="347">
        <v>0</v>
      </c>
      <c r="S55" s="347">
        <v>0</v>
      </c>
      <c r="T55" s="347">
        <v>10087</v>
      </c>
      <c r="U55" s="347">
        <v>84404</v>
      </c>
      <c r="Z55" s="346"/>
      <c r="AB55" s="346"/>
    </row>
    <row r="56" spans="2:28" s="333" customFormat="1" ht="16.05" customHeight="1" outlineLevel="1" x14ac:dyDescent="0.45">
      <c r="B56" s="314"/>
      <c r="C56" s="301" t="s">
        <v>92</v>
      </c>
      <c r="D56" s="302"/>
      <c r="E56" s="348">
        <v>248</v>
      </c>
      <c r="F56" s="348">
        <v>996</v>
      </c>
      <c r="G56" s="348">
        <v>971</v>
      </c>
      <c r="H56" s="348">
        <v>2215</v>
      </c>
      <c r="I56" s="348">
        <v>981</v>
      </c>
      <c r="J56" s="348">
        <v>991</v>
      </c>
      <c r="K56" s="348">
        <v>873</v>
      </c>
      <c r="L56" s="348">
        <v>2845</v>
      </c>
      <c r="M56" s="348">
        <v>821</v>
      </c>
      <c r="N56" s="348">
        <v>820</v>
      </c>
      <c r="O56" s="348">
        <v>827</v>
      </c>
      <c r="P56" s="348">
        <v>2468</v>
      </c>
      <c r="Q56" s="348">
        <v>880</v>
      </c>
      <c r="R56" s="348">
        <v>0</v>
      </c>
      <c r="S56" s="348">
        <v>0</v>
      </c>
      <c r="T56" s="348">
        <v>880</v>
      </c>
      <c r="U56" s="348">
        <v>8408</v>
      </c>
      <c r="Z56" s="346"/>
      <c r="AB56" s="346"/>
    </row>
    <row r="57" spans="2:28" s="333" customFormat="1" ht="16.05" customHeight="1" outlineLevel="1" x14ac:dyDescent="0.45">
      <c r="B57" s="291" t="s">
        <v>112</v>
      </c>
      <c r="C57" s="292"/>
      <c r="D57" s="292"/>
      <c r="E57" s="345">
        <v>6345</v>
      </c>
      <c r="F57" s="345">
        <v>6834</v>
      </c>
      <c r="G57" s="345">
        <v>11888</v>
      </c>
      <c r="H57" s="345">
        <v>25067</v>
      </c>
      <c r="I57" s="345">
        <v>6169</v>
      </c>
      <c r="J57" s="345">
        <v>6274</v>
      </c>
      <c r="K57" s="345">
        <v>7256</v>
      </c>
      <c r="L57" s="345">
        <v>19699</v>
      </c>
      <c r="M57" s="345">
        <v>6908</v>
      </c>
      <c r="N57" s="345">
        <v>5845</v>
      </c>
      <c r="O57" s="345">
        <v>11128</v>
      </c>
      <c r="P57" s="345">
        <v>23881</v>
      </c>
      <c r="Q57" s="345">
        <v>6878</v>
      </c>
      <c r="R57" s="345">
        <v>0</v>
      </c>
      <c r="S57" s="345">
        <v>0</v>
      </c>
      <c r="T57" s="345">
        <v>6878</v>
      </c>
      <c r="U57" s="345">
        <v>75525</v>
      </c>
      <c r="Z57" s="346"/>
      <c r="AB57" s="346"/>
    </row>
    <row r="58" spans="2:28" s="333" customFormat="1" ht="16.05" customHeight="1" outlineLevel="1" x14ac:dyDescent="0.45">
      <c r="B58" s="295"/>
      <c r="C58" s="296" t="s">
        <v>112</v>
      </c>
      <c r="D58" s="297"/>
      <c r="E58" s="347">
        <v>5122</v>
      </c>
      <c r="F58" s="347">
        <v>5420</v>
      </c>
      <c r="G58" s="347">
        <v>10845</v>
      </c>
      <c r="H58" s="347">
        <v>21387</v>
      </c>
      <c r="I58" s="347">
        <v>5316</v>
      </c>
      <c r="J58" s="347">
        <v>5343</v>
      </c>
      <c r="K58" s="347">
        <v>5827</v>
      </c>
      <c r="L58" s="347">
        <v>16486</v>
      </c>
      <c r="M58" s="347">
        <v>5498</v>
      </c>
      <c r="N58" s="347">
        <v>4311</v>
      </c>
      <c r="O58" s="347">
        <v>9384</v>
      </c>
      <c r="P58" s="347">
        <v>19193</v>
      </c>
      <c r="Q58" s="347">
        <v>5179</v>
      </c>
      <c r="R58" s="347">
        <v>0</v>
      </c>
      <c r="S58" s="347">
        <v>0</v>
      </c>
      <c r="T58" s="347">
        <v>5179</v>
      </c>
      <c r="U58" s="347">
        <v>62245</v>
      </c>
      <c r="Z58" s="346"/>
      <c r="AB58" s="346"/>
    </row>
    <row r="59" spans="2:28" s="333" customFormat="1" ht="16.05" customHeight="1" outlineLevel="1" x14ac:dyDescent="0.45">
      <c r="B59" s="295"/>
      <c r="C59" s="309" t="s">
        <v>92</v>
      </c>
      <c r="D59" s="310"/>
      <c r="E59" s="350">
        <v>1223</v>
      </c>
      <c r="F59" s="350">
        <v>1414</v>
      </c>
      <c r="G59" s="350">
        <v>1043</v>
      </c>
      <c r="H59" s="350">
        <v>3680</v>
      </c>
      <c r="I59" s="350">
        <v>853</v>
      </c>
      <c r="J59" s="350">
        <v>931</v>
      </c>
      <c r="K59" s="350">
        <v>1429</v>
      </c>
      <c r="L59" s="350">
        <v>3213</v>
      </c>
      <c r="M59" s="350">
        <v>1410</v>
      </c>
      <c r="N59" s="350">
        <v>1534</v>
      </c>
      <c r="O59" s="350">
        <v>1744</v>
      </c>
      <c r="P59" s="350">
        <v>4688</v>
      </c>
      <c r="Q59" s="350">
        <v>1699</v>
      </c>
      <c r="R59" s="350">
        <v>0</v>
      </c>
      <c r="S59" s="350">
        <v>0</v>
      </c>
      <c r="T59" s="350">
        <v>1699</v>
      </c>
      <c r="U59" s="350">
        <v>13280</v>
      </c>
      <c r="Z59" s="346"/>
      <c r="AB59" s="346"/>
    </row>
    <row r="60" spans="2:28" s="333" customFormat="1" ht="16.05" customHeight="1" outlineLevel="1" x14ac:dyDescent="0.45">
      <c r="B60" s="291" t="s">
        <v>143</v>
      </c>
      <c r="C60" s="315"/>
      <c r="D60" s="315"/>
      <c r="E60" s="351">
        <v>2769</v>
      </c>
      <c r="F60" s="351">
        <v>2689</v>
      </c>
      <c r="G60" s="351">
        <v>3392</v>
      </c>
      <c r="H60" s="351">
        <v>8850</v>
      </c>
      <c r="I60" s="351">
        <v>1515</v>
      </c>
      <c r="J60" s="351">
        <v>1932</v>
      </c>
      <c r="K60" s="351">
        <v>1506</v>
      </c>
      <c r="L60" s="351">
        <v>4953</v>
      </c>
      <c r="M60" s="351">
        <v>1704</v>
      </c>
      <c r="N60" s="351">
        <v>2365</v>
      </c>
      <c r="O60" s="351">
        <v>2759</v>
      </c>
      <c r="P60" s="351">
        <v>6828</v>
      </c>
      <c r="Q60" s="351">
        <v>2579</v>
      </c>
      <c r="R60" s="351">
        <v>0</v>
      </c>
      <c r="S60" s="351">
        <v>0</v>
      </c>
      <c r="T60" s="351">
        <v>2579</v>
      </c>
      <c r="U60" s="351">
        <v>23210</v>
      </c>
      <c r="Z60" s="346"/>
      <c r="AB60" s="346"/>
    </row>
    <row r="61" spans="2:28" s="333" customFormat="1" ht="16.05" customHeight="1" outlineLevel="1" x14ac:dyDescent="0.45">
      <c r="B61" s="291" t="s">
        <v>116</v>
      </c>
      <c r="C61" s="292"/>
      <c r="D61" s="292"/>
      <c r="E61" s="345">
        <v>33921</v>
      </c>
      <c r="F61" s="345">
        <v>35716</v>
      </c>
      <c r="G61" s="345">
        <v>40953</v>
      </c>
      <c r="H61" s="345">
        <v>110590</v>
      </c>
      <c r="I61" s="345">
        <v>25144</v>
      </c>
      <c r="J61" s="345">
        <v>28313</v>
      </c>
      <c r="K61" s="345">
        <v>27959</v>
      </c>
      <c r="L61" s="345">
        <v>81416</v>
      </c>
      <c r="M61" s="345">
        <v>28455</v>
      </c>
      <c r="N61" s="345">
        <v>29237</v>
      </c>
      <c r="O61" s="345">
        <v>27796</v>
      </c>
      <c r="P61" s="345">
        <v>85488</v>
      </c>
      <c r="Q61" s="345">
        <v>35285</v>
      </c>
      <c r="R61" s="345">
        <v>0</v>
      </c>
      <c r="S61" s="345">
        <v>0</v>
      </c>
      <c r="T61" s="345">
        <v>35285</v>
      </c>
      <c r="U61" s="345">
        <v>312779</v>
      </c>
      <c r="Z61" s="346"/>
      <c r="AB61" s="346"/>
    </row>
    <row r="62" spans="2:28" s="333" customFormat="1" ht="16.05" customHeight="1" outlineLevel="1" x14ac:dyDescent="0.45">
      <c r="B62" s="295"/>
      <c r="C62" s="296" t="s">
        <v>76</v>
      </c>
      <c r="D62" s="297"/>
      <c r="E62" s="347">
        <v>7097</v>
      </c>
      <c r="F62" s="347">
        <v>6426</v>
      </c>
      <c r="G62" s="347">
        <v>7946</v>
      </c>
      <c r="H62" s="347">
        <v>21469</v>
      </c>
      <c r="I62" s="347">
        <v>3357</v>
      </c>
      <c r="J62" s="347">
        <v>5480</v>
      </c>
      <c r="K62" s="347">
        <v>5149</v>
      </c>
      <c r="L62" s="347">
        <v>13986</v>
      </c>
      <c r="M62" s="347">
        <v>5005</v>
      </c>
      <c r="N62" s="347">
        <v>5557</v>
      </c>
      <c r="O62" s="347">
        <v>5092</v>
      </c>
      <c r="P62" s="347">
        <v>15654</v>
      </c>
      <c r="Q62" s="347">
        <v>5678</v>
      </c>
      <c r="R62" s="347">
        <v>0</v>
      </c>
      <c r="S62" s="347">
        <v>0</v>
      </c>
      <c r="T62" s="347">
        <v>5678</v>
      </c>
      <c r="U62" s="347">
        <v>56787</v>
      </c>
      <c r="Z62" s="346"/>
      <c r="AB62" s="346"/>
    </row>
    <row r="63" spans="2:28" s="333" customFormat="1" ht="16.05" customHeight="1" outlineLevel="1" x14ac:dyDescent="0.45">
      <c r="B63" s="295"/>
      <c r="C63" s="309" t="s">
        <v>80</v>
      </c>
      <c r="D63" s="310"/>
      <c r="E63" s="350">
        <v>3413</v>
      </c>
      <c r="F63" s="350">
        <v>7003</v>
      </c>
      <c r="G63" s="350">
        <v>9208</v>
      </c>
      <c r="H63" s="350">
        <v>19624</v>
      </c>
      <c r="I63" s="350">
        <v>4179</v>
      </c>
      <c r="J63" s="350">
        <v>5754</v>
      </c>
      <c r="K63" s="350">
        <v>4193</v>
      </c>
      <c r="L63" s="350">
        <v>14126</v>
      </c>
      <c r="M63" s="350">
        <v>4746</v>
      </c>
      <c r="N63" s="350">
        <v>5872</v>
      </c>
      <c r="O63" s="350">
        <v>4329</v>
      </c>
      <c r="P63" s="350">
        <v>14947</v>
      </c>
      <c r="Q63" s="350">
        <v>6557</v>
      </c>
      <c r="R63" s="350">
        <v>0</v>
      </c>
      <c r="S63" s="350">
        <v>0</v>
      </c>
      <c r="T63" s="350">
        <v>6557</v>
      </c>
      <c r="U63" s="350">
        <v>55254</v>
      </c>
      <c r="Z63" s="346"/>
      <c r="AB63" s="346"/>
    </row>
    <row r="64" spans="2:28" s="333" customFormat="1" ht="16.05" customHeight="1" outlineLevel="1" x14ac:dyDescent="0.45">
      <c r="B64" s="295"/>
      <c r="C64" s="309" t="s">
        <v>78</v>
      </c>
      <c r="D64" s="310"/>
      <c r="E64" s="350">
        <v>8519</v>
      </c>
      <c r="F64" s="350">
        <v>7338</v>
      </c>
      <c r="G64" s="350">
        <v>8165</v>
      </c>
      <c r="H64" s="350">
        <v>24022</v>
      </c>
      <c r="I64" s="350">
        <v>4539</v>
      </c>
      <c r="J64" s="350">
        <v>4738</v>
      </c>
      <c r="K64" s="350">
        <v>5238</v>
      </c>
      <c r="L64" s="350">
        <v>14515</v>
      </c>
      <c r="M64" s="350">
        <v>5003</v>
      </c>
      <c r="N64" s="350">
        <v>5317</v>
      </c>
      <c r="O64" s="350">
        <v>4603</v>
      </c>
      <c r="P64" s="350">
        <v>14923</v>
      </c>
      <c r="Q64" s="350">
        <v>4607</v>
      </c>
      <c r="R64" s="350">
        <v>0</v>
      </c>
      <c r="S64" s="350">
        <v>0</v>
      </c>
      <c r="T64" s="350">
        <v>4607</v>
      </c>
      <c r="U64" s="350">
        <v>58067</v>
      </c>
      <c r="Z64" s="346"/>
      <c r="AB64" s="346"/>
    </row>
    <row r="65" spans="2:28" s="333" customFormat="1" ht="16.05" customHeight="1" outlineLevel="1" x14ac:dyDescent="0.45">
      <c r="B65" s="295"/>
      <c r="C65" s="309" t="s">
        <v>88</v>
      </c>
      <c r="D65" s="310"/>
      <c r="E65" s="350">
        <v>6228</v>
      </c>
      <c r="F65" s="350">
        <v>6020</v>
      </c>
      <c r="G65" s="350">
        <v>5014</v>
      </c>
      <c r="H65" s="350">
        <v>17262</v>
      </c>
      <c r="I65" s="350">
        <v>4795</v>
      </c>
      <c r="J65" s="350">
        <v>4354</v>
      </c>
      <c r="K65" s="350">
        <v>4892</v>
      </c>
      <c r="L65" s="350">
        <v>14041</v>
      </c>
      <c r="M65" s="350">
        <v>4253</v>
      </c>
      <c r="N65" s="350">
        <v>4620</v>
      </c>
      <c r="O65" s="350">
        <v>4590</v>
      </c>
      <c r="P65" s="350">
        <v>13463</v>
      </c>
      <c r="Q65" s="350">
        <v>6584</v>
      </c>
      <c r="R65" s="350">
        <v>0</v>
      </c>
      <c r="S65" s="350">
        <v>0</v>
      </c>
      <c r="T65" s="350">
        <v>6584</v>
      </c>
      <c r="U65" s="350">
        <v>51350</v>
      </c>
      <c r="Z65" s="346"/>
      <c r="AB65" s="346"/>
    </row>
    <row r="66" spans="2:28" s="333" customFormat="1" ht="16.05" customHeight="1" outlineLevel="1" x14ac:dyDescent="0.45">
      <c r="B66" s="300"/>
      <c r="C66" s="301" t="s">
        <v>92</v>
      </c>
      <c r="D66" s="302"/>
      <c r="E66" s="348">
        <v>8664</v>
      </c>
      <c r="F66" s="348">
        <v>8929</v>
      </c>
      <c r="G66" s="348">
        <v>10620</v>
      </c>
      <c r="H66" s="348">
        <v>28213</v>
      </c>
      <c r="I66" s="348">
        <v>8274</v>
      </c>
      <c r="J66" s="348">
        <v>7987</v>
      </c>
      <c r="K66" s="348">
        <v>8487</v>
      </c>
      <c r="L66" s="348">
        <v>24748</v>
      </c>
      <c r="M66" s="348">
        <v>9448</v>
      </c>
      <c r="N66" s="348">
        <v>7871</v>
      </c>
      <c r="O66" s="348">
        <v>9182</v>
      </c>
      <c r="P66" s="348">
        <v>26501</v>
      </c>
      <c r="Q66" s="348">
        <v>11859</v>
      </c>
      <c r="R66" s="348">
        <v>0</v>
      </c>
      <c r="S66" s="348">
        <v>0</v>
      </c>
      <c r="T66" s="348">
        <v>11859</v>
      </c>
      <c r="U66" s="348">
        <v>91321</v>
      </c>
      <c r="Z66" s="346"/>
      <c r="AB66" s="346"/>
    </row>
    <row r="67" spans="2:28" s="333" customFormat="1" ht="16.05" customHeight="1" x14ac:dyDescent="0.45">
      <c r="B67" s="291" t="s">
        <v>90</v>
      </c>
      <c r="C67" s="292"/>
      <c r="D67" s="292"/>
      <c r="E67" s="345">
        <v>68988</v>
      </c>
      <c r="F67" s="345">
        <v>34021</v>
      </c>
      <c r="G67" s="345">
        <v>55194</v>
      </c>
      <c r="H67" s="345">
        <v>158203</v>
      </c>
      <c r="I67" s="345">
        <v>43837</v>
      </c>
      <c r="J67" s="345">
        <v>55247</v>
      </c>
      <c r="K67" s="345">
        <v>58596</v>
      </c>
      <c r="L67" s="345">
        <v>157680</v>
      </c>
      <c r="M67" s="345">
        <v>44974</v>
      </c>
      <c r="N67" s="345">
        <v>53478</v>
      </c>
      <c r="O67" s="345">
        <v>54692</v>
      </c>
      <c r="P67" s="345">
        <v>153144</v>
      </c>
      <c r="Q67" s="345">
        <v>60032</v>
      </c>
      <c r="R67" s="345">
        <v>0</v>
      </c>
      <c r="S67" s="345">
        <v>0</v>
      </c>
      <c r="T67" s="345">
        <v>60032</v>
      </c>
      <c r="U67" s="345">
        <v>529059</v>
      </c>
      <c r="Z67" s="346"/>
      <c r="AB67" s="346"/>
    </row>
    <row r="68" spans="2:28" s="333" customFormat="1" ht="16.05" customHeight="1" x14ac:dyDescent="0.45">
      <c r="B68" s="295"/>
      <c r="C68" s="318" t="s">
        <v>38</v>
      </c>
      <c r="D68" s="319" t="s">
        <v>94</v>
      </c>
      <c r="E68" s="347">
        <v>37142</v>
      </c>
      <c r="F68" s="347">
        <v>19091</v>
      </c>
      <c r="G68" s="347">
        <v>29423</v>
      </c>
      <c r="H68" s="347">
        <v>85656</v>
      </c>
      <c r="I68" s="347">
        <v>23076</v>
      </c>
      <c r="J68" s="347">
        <v>26451</v>
      </c>
      <c r="K68" s="347">
        <v>30114</v>
      </c>
      <c r="L68" s="347">
        <v>79641</v>
      </c>
      <c r="M68" s="347">
        <v>23035</v>
      </c>
      <c r="N68" s="347">
        <v>28204</v>
      </c>
      <c r="O68" s="347">
        <v>28279</v>
      </c>
      <c r="P68" s="347">
        <v>79518</v>
      </c>
      <c r="Q68" s="347">
        <v>31245</v>
      </c>
      <c r="R68" s="347">
        <v>0</v>
      </c>
      <c r="S68" s="347">
        <v>0</v>
      </c>
      <c r="T68" s="347">
        <v>31245</v>
      </c>
      <c r="U68" s="347">
        <v>276060</v>
      </c>
      <c r="Z68" s="346"/>
      <c r="AB68" s="346"/>
    </row>
    <row r="69" spans="2:28" s="333" customFormat="1" ht="16.05" customHeight="1" x14ac:dyDescent="0.45">
      <c r="B69" s="295"/>
      <c r="C69" s="320"/>
      <c r="D69" s="321" t="s">
        <v>96</v>
      </c>
      <c r="E69" s="352">
        <v>31723</v>
      </c>
      <c r="F69" s="352">
        <v>14740</v>
      </c>
      <c r="G69" s="352">
        <v>25600</v>
      </c>
      <c r="H69" s="352">
        <v>72063</v>
      </c>
      <c r="I69" s="352">
        <v>20613</v>
      </c>
      <c r="J69" s="352">
        <v>28657</v>
      </c>
      <c r="K69" s="352">
        <v>28354</v>
      </c>
      <c r="L69" s="352">
        <v>77624</v>
      </c>
      <c r="M69" s="352">
        <v>21782</v>
      </c>
      <c r="N69" s="352">
        <v>25135</v>
      </c>
      <c r="O69" s="352">
        <v>26265</v>
      </c>
      <c r="P69" s="352">
        <v>73182</v>
      </c>
      <c r="Q69" s="352">
        <v>28641</v>
      </c>
      <c r="R69" s="352">
        <v>0</v>
      </c>
      <c r="S69" s="352">
        <v>0</v>
      </c>
      <c r="T69" s="352">
        <v>28641</v>
      </c>
      <c r="U69" s="352">
        <v>251510</v>
      </c>
      <c r="Z69" s="346"/>
      <c r="AB69" s="346"/>
    </row>
    <row r="70" spans="2:28" s="333" customFormat="1" ht="16.05" customHeight="1" x14ac:dyDescent="0.45">
      <c r="B70" s="295"/>
      <c r="C70" s="324" t="s">
        <v>92</v>
      </c>
      <c r="D70" s="325"/>
      <c r="E70" s="353">
        <v>123</v>
      </c>
      <c r="F70" s="353">
        <v>190</v>
      </c>
      <c r="G70" s="353">
        <v>171</v>
      </c>
      <c r="H70" s="353">
        <v>484</v>
      </c>
      <c r="I70" s="353">
        <v>148</v>
      </c>
      <c r="J70" s="353">
        <v>139</v>
      </c>
      <c r="K70" s="353">
        <v>128</v>
      </c>
      <c r="L70" s="353">
        <v>415</v>
      </c>
      <c r="M70" s="353">
        <v>157</v>
      </c>
      <c r="N70" s="353">
        <v>139</v>
      </c>
      <c r="O70" s="353">
        <v>148</v>
      </c>
      <c r="P70" s="353">
        <v>444</v>
      </c>
      <c r="Q70" s="353">
        <v>146</v>
      </c>
      <c r="R70" s="353">
        <v>0</v>
      </c>
      <c r="S70" s="353">
        <v>0</v>
      </c>
      <c r="T70" s="353">
        <v>146</v>
      </c>
      <c r="U70" s="353">
        <v>1489</v>
      </c>
      <c r="Z70" s="346"/>
      <c r="AB70" s="346"/>
    </row>
    <row r="71" spans="2:28" ht="3.75" customHeight="1" thickBot="1" x14ac:dyDescent="0.5">
      <c r="B71" s="328"/>
      <c r="C71" s="329"/>
      <c r="D71" s="329"/>
      <c r="E71" s="249"/>
      <c r="F71" s="249"/>
      <c r="G71" s="249"/>
      <c r="H71" s="587"/>
      <c r="I71" s="587"/>
      <c r="J71" s="587"/>
      <c r="K71" s="587"/>
      <c r="L71" s="587"/>
      <c r="M71" s="587"/>
      <c r="N71" s="587"/>
      <c r="O71" s="587"/>
      <c r="P71" s="587"/>
      <c r="Q71" s="587"/>
      <c r="R71" s="587"/>
      <c r="S71" s="587"/>
      <c r="T71" s="587"/>
      <c r="U71" s="587"/>
      <c r="Z71" s="197"/>
      <c r="AB71" s="197"/>
    </row>
    <row r="72" spans="2:28" s="201" customFormat="1" ht="16.8" thickBot="1" x14ac:dyDescent="0.5">
      <c r="B72" s="331" t="s">
        <v>118</v>
      </c>
      <c r="C72" s="512"/>
      <c r="D72" s="512"/>
      <c r="E72" s="564">
        <v>281410</v>
      </c>
      <c r="F72" s="564">
        <v>267003</v>
      </c>
      <c r="G72" s="564">
        <v>363846</v>
      </c>
      <c r="H72" s="564">
        <v>912259</v>
      </c>
      <c r="I72" s="564">
        <v>287955</v>
      </c>
      <c r="J72" s="564">
        <v>298167</v>
      </c>
      <c r="K72" s="564">
        <v>285479</v>
      </c>
      <c r="L72" s="564">
        <v>871601</v>
      </c>
      <c r="M72" s="564">
        <v>279727</v>
      </c>
      <c r="N72" s="564">
        <v>289688</v>
      </c>
      <c r="O72" s="564">
        <v>290275</v>
      </c>
      <c r="P72" s="564">
        <v>859690</v>
      </c>
      <c r="Q72" s="564">
        <v>292319</v>
      </c>
      <c r="R72" s="564">
        <v>0</v>
      </c>
      <c r="S72" s="564">
        <v>0</v>
      </c>
      <c r="T72" s="564">
        <v>292319</v>
      </c>
      <c r="U72" s="563">
        <v>2935869</v>
      </c>
      <c r="Z72" s="513"/>
      <c r="AB72" s="513"/>
    </row>
    <row r="73" spans="2:28" ht="16.2" x14ac:dyDescent="0.45">
      <c r="B73" s="357"/>
      <c r="C73" s="333"/>
      <c r="D73" s="333"/>
      <c r="E73" s="250"/>
      <c r="F73" s="250"/>
      <c r="G73" s="250"/>
      <c r="H73" s="588"/>
      <c r="I73" s="588"/>
      <c r="J73" s="588"/>
      <c r="K73" s="588"/>
      <c r="L73" s="588"/>
      <c r="M73" s="588"/>
      <c r="N73" s="588"/>
      <c r="O73" s="588"/>
      <c r="P73" s="588"/>
      <c r="Q73" s="588"/>
      <c r="R73" s="588"/>
      <c r="S73" s="588"/>
      <c r="T73" s="588"/>
      <c r="U73" s="588"/>
      <c r="Z73" s="197"/>
      <c r="AB73" s="197"/>
    </row>
    <row r="74" spans="2:28" ht="16.2" x14ac:dyDescent="0.45">
      <c r="B74" s="291" t="s">
        <v>120</v>
      </c>
      <c r="C74" s="292"/>
      <c r="D74" s="292"/>
      <c r="E74" s="345">
        <v>152076</v>
      </c>
      <c r="F74" s="345">
        <v>138406</v>
      </c>
      <c r="G74" s="345">
        <v>196083</v>
      </c>
      <c r="H74" s="345">
        <v>486565</v>
      </c>
      <c r="I74" s="345">
        <v>160419</v>
      </c>
      <c r="J74" s="345">
        <v>171076</v>
      </c>
      <c r="K74" s="345">
        <v>152176</v>
      </c>
      <c r="L74" s="345">
        <v>483671</v>
      </c>
      <c r="M74" s="345">
        <v>146097</v>
      </c>
      <c r="N74" s="345">
        <v>157641</v>
      </c>
      <c r="O74" s="345">
        <v>150896</v>
      </c>
      <c r="P74" s="345">
        <v>454634</v>
      </c>
      <c r="Q74" s="345">
        <v>161095</v>
      </c>
      <c r="R74" s="345">
        <v>0</v>
      </c>
      <c r="S74" s="345">
        <v>0</v>
      </c>
      <c r="T74" s="345">
        <v>161095</v>
      </c>
      <c r="U74" s="345">
        <v>1585965</v>
      </c>
      <c r="Z74" s="197"/>
      <c r="AB74" s="197"/>
    </row>
    <row r="75" spans="2:28" ht="16.2" x14ac:dyDescent="0.45">
      <c r="B75" s="334"/>
      <c r="C75" s="296" t="s">
        <v>122</v>
      </c>
      <c r="D75" s="297"/>
      <c r="E75" s="347">
        <v>27859</v>
      </c>
      <c r="F75" s="347">
        <v>18184</v>
      </c>
      <c r="G75" s="347">
        <v>26270</v>
      </c>
      <c r="H75" s="347">
        <v>72313</v>
      </c>
      <c r="I75" s="347">
        <v>21821</v>
      </c>
      <c r="J75" s="347">
        <v>26598</v>
      </c>
      <c r="K75" s="347">
        <v>27014</v>
      </c>
      <c r="L75" s="347">
        <v>75433</v>
      </c>
      <c r="M75" s="347">
        <v>23985</v>
      </c>
      <c r="N75" s="347">
        <v>29159</v>
      </c>
      <c r="O75" s="347">
        <v>27777</v>
      </c>
      <c r="P75" s="347">
        <v>80921</v>
      </c>
      <c r="Q75" s="347">
        <v>31136</v>
      </c>
      <c r="R75" s="347">
        <v>0</v>
      </c>
      <c r="S75" s="347">
        <v>0</v>
      </c>
      <c r="T75" s="347">
        <v>31136</v>
      </c>
      <c r="U75" s="347">
        <v>259803</v>
      </c>
      <c r="Z75" s="197"/>
      <c r="AB75" s="197"/>
    </row>
    <row r="76" spans="2:28" ht="16.2" x14ac:dyDescent="0.45">
      <c r="B76" s="334"/>
      <c r="C76" s="309" t="s">
        <v>124</v>
      </c>
      <c r="D76" s="310"/>
      <c r="E76" s="350">
        <v>33291</v>
      </c>
      <c r="F76" s="350">
        <v>28671</v>
      </c>
      <c r="G76" s="350">
        <v>39044</v>
      </c>
      <c r="H76" s="350">
        <v>101006</v>
      </c>
      <c r="I76" s="350">
        <v>35632</v>
      </c>
      <c r="J76" s="350">
        <v>39208</v>
      </c>
      <c r="K76" s="350">
        <v>33083</v>
      </c>
      <c r="L76" s="350">
        <v>107923</v>
      </c>
      <c r="M76" s="350">
        <v>30720</v>
      </c>
      <c r="N76" s="350">
        <v>32975</v>
      </c>
      <c r="O76" s="350">
        <v>28820</v>
      </c>
      <c r="P76" s="350">
        <v>92515</v>
      </c>
      <c r="Q76" s="350">
        <v>30226</v>
      </c>
      <c r="R76" s="350">
        <v>0</v>
      </c>
      <c r="S76" s="350">
        <v>0</v>
      </c>
      <c r="T76" s="350">
        <v>30226</v>
      </c>
      <c r="U76" s="350">
        <v>331670</v>
      </c>
      <c r="Z76" s="197"/>
      <c r="AB76" s="197"/>
    </row>
    <row r="77" spans="2:28" ht="16.2" x14ac:dyDescent="0.45">
      <c r="B77" s="334"/>
      <c r="C77" s="309" t="s">
        <v>126</v>
      </c>
      <c r="D77" s="310"/>
      <c r="E77" s="350">
        <v>52527</v>
      </c>
      <c r="F77" s="350">
        <v>49272</v>
      </c>
      <c r="G77" s="350">
        <v>77437</v>
      </c>
      <c r="H77" s="350">
        <v>179236</v>
      </c>
      <c r="I77" s="350">
        <v>65838</v>
      </c>
      <c r="J77" s="350">
        <v>68346</v>
      </c>
      <c r="K77" s="350">
        <v>57202</v>
      </c>
      <c r="L77" s="350">
        <v>191386</v>
      </c>
      <c r="M77" s="350">
        <v>51881</v>
      </c>
      <c r="N77" s="350">
        <v>57580</v>
      </c>
      <c r="O77" s="350">
        <v>53580</v>
      </c>
      <c r="P77" s="350">
        <v>163041</v>
      </c>
      <c r="Q77" s="350">
        <v>57986</v>
      </c>
      <c r="R77" s="350">
        <v>0</v>
      </c>
      <c r="S77" s="350">
        <v>0</v>
      </c>
      <c r="T77" s="350">
        <v>57986</v>
      </c>
      <c r="U77" s="350">
        <v>591649</v>
      </c>
      <c r="Z77" s="197"/>
      <c r="AB77" s="197"/>
    </row>
    <row r="78" spans="2:28" ht="16.2" x14ac:dyDescent="0.45">
      <c r="B78" s="335"/>
      <c r="C78" s="301" t="s">
        <v>128</v>
      </c>
      <c r="D78" s="302"/>
      <c r="E78" s="348">
        <v>38399</v>
      </c>
      <c r="F78" s="348">
        <v>42279</v>
      </c>
      <c r="G78" s="348">
        <v>53332</v>
      </c>
      <c r="H78" s="348">
        <v>134010</v>
      </c>
      <c r="I78" s="348">
        <v>37128</v>
      </c>
      <c r="J78" s="348">
        <v>36924</v>
      </c>
      <c r="K78" s="348">
        <v>34877</v>
      </c>
      <c r="L78" s="348">
        <v>108929</v>
      </c>
      <c r="M78" s="348">
        <v>39511</v>
      </c>
      <c r="N78" s="348">
        <v>37927</v>
      </c>
      <c r="O78" s="348">
        <v>40719</v>
      </c>
      <c r="P78" s="348">
        <v>118157</v>
      </c>
      <c r="Q78" s="348">
        <v>41747</v>
      </c>
      <c r="R78" s="348">
        <v>0</v>
      </c>
      <c r="S78" s="348">
        <v>0</v>
      </c>
      <c r="T78" s="348">
        <v>41747</v>
      </c>
      <c r="U78" s="348">
        <v>402843</v>
      </c>
      <c r="Z78" s="197"/>
      <c r="AB78" s="197"/>
    </row>
    <row r="79" spans="2:28" ht="16.2" x14ac:dyDescent="0.45">
      <c r="B79" s="336"/>
      <c r="C79" s="573" t="s">
        <v>148</v>
      </c>
      <c r="D79" s="337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</row>
    <row r="80" spans="2:28" x14ac:dyDescent="0.45">
      <c r="B80" s="198"/>
      <c r="C80" s="199"/>
      <c r="D80" s="199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</row>
    <row r="81" spans="2:21" ht="16.2" x14ac:dyDescent="0.45">
      <c r="B81" s="357" t="s">
        <v>0</v>
      </c>
    </row>
    <row r="82" spans="2:21" ht="16.05" customHeight="1" x14ac:dyDescent="0.45">
      <c r="B82" s="202"/>
      <c r="C82" s="203"/>
      <c r="D82" s="203"/>
      <c r="E82" s="604" t="s">
        <v>45</v>
      </c>
      <c r="F82" s="605"/>
      <c r="G82" s="605"/>
      <c r="H82" s="605"/>
      <c r="I82" s="605"/>
      <c r="J82" s="605"/>
      <c r="K82" s="605"/>
      <c r="L82" s="605"/>
      <c r="M82" s="605"/>
      <c r="N82" s="605"/>
      <c r="O82" s="605"/>
      <c r="P82" s="605"/>
      <c r="Q82" s="605"/>
      <c r="R82" s="605"/>
      <c r="S82" s="605"/>
      <c r="T82" s="605"/>
      <c r="U82" s="606"/>
    </row>
    <row r="83" spans="2:21" ht="16.05" customHeight="1" x14ac:dyDescent="0.45">
      <c r="B83" s="204"/>
      <c r="C83" s="205"/>
      <c r="D83" s="205"/>
      <c r="E83" s="142"/>
      <c r="F83" s="143"/>
      <c r="G83" s="143"/>
      <c r="H83" s="607" t="s">
        <v>40</v>
      </c>
      <c r="I83" s="142"/>
      <c r="J83" s="143"/>
      <c r="K83" s="143"/>
      <c r="L83" s="609" t="s">
        <v>41</v>
      </c>
      <c r="M83" s="142"/>
      <c r="N83" s="143"/>
      <c r="O83" s="143"/>
      <c r="P83" s="609" t="s">
        <v>42</v>
      </c>
      <c r="Q83" s="142"/>
      <c r="R83" s="143"/>
      <c r="S83" s="143"/>
      <c r="T83" s="609" t="s">
        <v>43</v>
      </c>
      <c r="U83" s="144"/>
    </row>
    <row r="84" spans="2:21" ht="16.05" customHeight="1" x14ac:dyDescent="0.45">
      <c r="B84" s="206"/>
      <c r="C84" s="207"/>
      <c r="D84" s="207"/>
      <c r="E84" s="219" t="str">
        <f>E45</f>
        <v>1月/Jan.</v>
      </c>
      <c r="F84" s="219" t="str">
        <f>F45</f>
        <v>2月/Feb.</v>
      </c>
      <c r="G84" s="219" t="str">
        <f>G45</f>
        <v>3月/Mar.</v>
      </c>
      <c r="H84" s="608"/>
      <c r="I84" s="219" t="str">
        <f>I45</f>
        <v>4月/Apr.</v>
      </c>
      <c r="J84" s="219" t="str">
        <f>J45</f>
        <v>5月/May</v>
      </c>
      <c r="K84" s="219" t="str">
        <f>K45</f>
        <v>6月/Jun.</v>
      </c>
      <c r="L84" s="610"/>
      <c r="M84" s="219" t="str">
        <f>M45</f>
        <v>7月/Jul.</v>
      </c>
      <c r="N84" s="219" t="str">
        <f>N45</f>
        <v>8月/Aug.</v>
      </c>
      <c r="O84" s="219" t="str">
        <f>O45</f>
        <v>9月/Sep.</v>
      </c>
      <c r="P84" s="610"/>
      <c r="Q84" s="219" t="str">
        <f>Q45</f>
        <v>10月/Oct.</v>
      </c>
      <c r="R84" s="219" t="str">
        <f>R45</f>
        <v>11月/Nov.</v>
      </c>
      <c r="S84" s="219" t="str">
        <f>S45</f>
        <v>12月/Dec.</v>
      </c>
      <c r="T84" s="610"/>
      <c r="U84" s="188" t="s">
        <v>39</v>
      </c>
    </row>
    <row r="85" spans="2:21" s="333" customFormat="1" ht="16.05" customHeight="1" x14ac:dyDescent="0.45">
      <c r="B85" s="291" t="s">
        <v>55</v>
      </c>
      <c r="C85" s="292"/>
      <c r="D85" s="292"/>
      <c r="E85" s="360">
        <v>0.94256769409385421</v>
      </c>
      <c r="F85" s="360">
        <v>1.0043046879101265</v>
      </c>
      <c r="G85" s="360">
        <v>1.0409568882039253</v>
      </c>
      <c r="H85" s="360">
        <v>1.0009898297710338</v>
      </c>
      <c r="I85" s="360">
        <v>0.8990865940728332</v>
      </c>
      <c r="J85" s="360">
        <v>0.85108399967026627</v>
      </c>
      <c r="K85" s="360">
        <v>0.83149917293994535</v>
      </c>
      <c r="L85" s="360">
        <v>0.85897841835959265</v>
      </c>
      <c r="M85" s="360">
        <v>0.87715365829179348</v>
      </c>
      <c r="N85" s="360">
        <v>0.89866573646114933</v>
      </c>
      <c r="O85" s="360">
        <v>0.93780706657644675</v>
      </c>
      <c r="P85" s="360">
        <v>0.90658403980833024</v>
      </c>
      <c r="Q85" s="360">
        <v>0.91948086097441872</v>
      </c>
      <c r="R85" s="360">
        <v>0</v>
      </c>
      <c r="S85" s="360">
        <v>0</v>
      </c>
      <c r="T85" s="360">
        <v>0.31999660099616961</v>
      </c>
      <c r="U85" s="360">
        <v>0.78704667863554756</v>
      </c>
    </row>
    <row r="86" spans="2:21" s="333" customFormat="1" ht="16.05" customHeight="1" x14ac:dyDescent="0.45">
      <c r="B86" s="295"/>
      <c r="C86" s="296" t="s">
        <v>108</v>
      </c>
      <c r="D86" s="297"/>
      <c r="E86" s="361">
        <v>0.98351914687348518</v>
      </c>
      <c r="F86" s="361">
        <v>0.98787878787878791</v>
      </c>
      <c r="G86" s="361">
        <v>0.9844682344682345</v>
      </c>
      <c r="H86" s="361">
        <v>0.98526446841523352</v>
      </c>
      <c r="I86" s="361">
        <v>0.81954711954711956</v>
      </c>
      <c r="J86" s="361">
        <v>0.80291234140715106</v>
      </c>
      <c r="K86" s="361">
        <v>0.77283519752839203</v>
      </c>
      <c r="L86" s="361">
        <v>0.79696110254391739</v>
      </c>
      <c r="M86" s="361">
        <v>0.82609546165884196</v>
      </c>
      <c r="N86" s="361">
        <v>0.81997115796858555</v>
      </c>
      <c r="O86" s="361">
        <v>0.88710590366219511</v>
      </c>
      <c r="P86" s="361">
        <v>0.84674761043657965</v>
      </c>
      <c r="Q86" s="361">
        <v>0.9767656090071648</v>
      </c>
      <c r="R86" s="361">
        <v>0</v>
      </c>
      <c r="S86" s="361">
        <v>0</v>
      </c>
      <c r="T86" s="361">
        <v>0.345148106622301</v>
      </c>
      <c r="U86" s="361">
        <v>0.76435998358257651</v>
      </c>
    </row>
    <row r="87" spans="2:21" s="333" customFormat="1" ht="16.05" customHeight="1" x14ac:dyDescent="0.45">
      <c r="B87" s="300"/>
      <c r="C87" s="301" t="s">
        <v>110</v>
      </c>
      <c r="D87" s="302"/>
      <c r="E87" s="362">
        <v>0.89433115823817289</v>
      </c>
      <c r="F87" s="362">
        <v>1.0270202651988991</v>
      </c>
      <c r="G87" s="362">
        <v>1.1337924072538486</v>
      </c>
      <c r="H87" s="362">
        <v>1.023190230721809</v>
      </c>
      <c r="I87" s="362">
        <v>1.0178500397772474</v>
      </c>
      <c r="J87" s="362">
        <v>0.9153994225216554</v>
      </c>
      <c r="K87" s="362">
        <v>0.91592902136769727</v>
      </c>
      <c r="L87" s="362">
        <v>0.94720854236664054</v>
      </c>
      <c r="M87" s="362">
        <v>0.95328777398116504</v>
      </c>
      <c r="N87" s="362">
        <v>0.99856513779624956</v>
      </c>
      <c r="O87" s="362">
        <v>0.99267949032099978</v>
      </c>
      <c r="P87" s="362">
        <v>0.98192747570162775</v>
      </c>
      <c r="Q87" s="362">
        <v>0.84932308206585327</v>
      </c>
      <c r="R87" s="362">
        <v>0</v>
      </c>
      <c r="S87" s="362">
        <v>0</v>
      </c>
      <c r="T87" s="362">
        <v>0.29020974028755409</v>
      </c>
      <c r="U87" s="362">
        <v>0.81695431401656515</v>
      </c>
    </row>
    <row r="88" spans="2:21" s="333" customFormat="1" ht="16.05" customHeight="1" x14ac:dyDescent="0.45">
      <c r="B88" s="305" t="s">
        <v>58</v>
      </c>
      <c r="C88" s="306"/>
      <c r="D88" s="306"/>
      <c r="E88" s="363">
        <v>1.0424355460103052</v>
      </c>
      <c r="F88" s="363">
        <v>0.96951395341386049</v>
      </c>
      <c r="G88" s="363">
        <v>1.1342118139560171</v>
      </c>
      <c r="H88" s="363">
        <v>1.0540733512625842</v>
      </c>
      <c r="I88" s="363">
        <v>1.1931510598826069</v>
      </c>
      <c r="J88" s="363">
        <v>1.0732369962227535</v>
      </c>
      <c r="K88" s="363">
        <v>1.0264702190422395</v>
      </c>
      <c r="L88" s="363">
        <v>1.0975641810882455</v>
      </c>
      <c r="M88" s="363">
        <v>0.99724834755263081</v>
      </c>
      <c r="N88" s="363">
        <v>0.94917959806664975</v>
      </c>
      <c r="O88" s="363">
        <v>0.9900131363157938</v>
      </c>
      <c r="P88" s="363">
        <v>0.97700474383529134</v>
      </c>
      <c r="Q88" s="363">
        <v>1.0030731262575452</v>
      </c>
      <c r="R88" s="363">
        <v>0</v>
      </c>
      <c r="S88" s="363">
        <v>0</v>
      </c>
      <c r="T88" s="363">
        <v>0.30578930217847594</v>
      </c>
      <c r="U88" s="363">
        <v>0.85177000597170094</v>
      </c>
    </row>
    <row r="89" spans="2:21" s="333" customFormat="1" ht="16.05" customHeight="1" x14ac:dyDescent="0.45">
      <c r="B89" s="295"/>
      <c r="C89" s="296" t="s">
        <v>114</v>
      </c>
      <c r="D89" s="297"/>
      <c r="E89" s="361">
        <v>1.038236240746701</v>
      </c>
      <c r="F89" s="361">
        <v>0.97185541730996272</v>
      </c>
      <c r="G89" s="361">
        <v>1.1324710353705634</v>
      </c>
      <c r="H89" s="361">
        <v>1.0531807179831287</v>
      </c>
      <c r="I89" s="361">
        <v>1.1807249583998078</v>
      </c>
      <c r="J89" s="361">
        <v>1.065311612613959</v>
      </c>
      <c r="K89" s="361">
        <v>1.015468946798886</v>
      </c>
      <c r="L89" s="361">
        <v>1.0872952417823187</v>
      </c>
      <c r="M89" s="361">
        <v>1.0023190902540231</v>
      </c>
      <c r="N89" s="361">
        <v>0.94843872811718466</v>
      </c>
      <c r="O89" s="361">
        <v>0.99592521345248131</v>
      </c>
      <c r="P89" s="361">
        <v>0.97988607753936219</v>
      </c>
      <c r="Q89" s="361">
        <v>1.0067877403802585</v>
      </c>
      <c r="R89" s="361">
        <v>0</v>
      </c>
      <c r="S89" s="361">
        <v>0</v>
      </c>
      <c r="T89" s="361">
        <v>0.30241287884974494</v>
      </c>
      <c r="U89" s="361">
        <v>0.8491681397780817</v>
      </c>
    </row>
    <row r="90" spans="2:21" s="333" customFormat="1" ht="16.05" customHeight="1" x14ac:dyDescent="0.45">
      <c r="B90" s="295"/>
      <c r="C90" s="309" t="s">
        <v>66</v>
      </c>
      <c r="D90" s="310"/>
      <c r="E90" s="364">
        <v>1.1410900183710961</v>
      </c>
      <c r="F90" s="364">
        <v>0.93045516702480957</v>
      </c>
      <c r="G90" s="364">
        <v>1.1901622718052738</v>
      </c>
      <c r="H90" s="364">
        <v>1.0889697370596991</v>
      </c>
      <c r="I90" s="364">
        <v>1.520111624326405</v>
      </c>
      <c r="J90" s="364">
        <v>1.2494048107708726</v>
      </c>
      <c r="K90" s="364">
        <v>1.1963858877521751</v>
      </c>
      <c r="L90" s="364">
        <v>1.3177827561152822</v>
      </c>
      <c r="M90" s="364">
        <v>1.0226132789254443</v>
      </c>
      <c r="N90" s="364">
        <v>0.97438726455985503</v>
      </c>
      <c r="O90" s="364">
        <v>0.94741454864154251</v>
      </c>
      <c r="P90" s="364">
        <v>0.98056914304245602</v>
      </c>
      <c r="Q90" s="364">
        <v>0.87689713322091067</v>
      </c>
      <c r="R90" s="364">
        <v>0</v>
      </c>
      <c r="S90" s="364">
        <v>0</v>
      </c>
      <c r="T90" s="364">
        <v>0.32296313025803175</v>
      </c>
      <c r="U90" s="364">
        <v>0.91514606609085281</v>
      </c>
    </row>
    <row r="91" spans="2:21" s="333" customFormat="1" ht="16.05" customHeight="1" x14ac:dyDescent="0.45">
      <c r="B91" s="295"/>
      <c r="C91" s="309" t="s">
        <v>68</v>
      </c>
      <c r="D91" s="310"/>
      <c r="E91" s="364">
        <v>0.99010460842521908</v>
      </c>
      <c r="F91" s="364">
        <v>0.97384481255448996</v>
      </c>
      <c r="G91" s="364">
        <v>1.1041251778093883</v>
      </c>
      <c r="H91" s="364">
        <v>1.022967692747546</v>
      </c>
      <c r="I91" s="364">
        <v>0.73252008330853913</v>
      </c>
      <c r="J91" s="364">
        <v>0.80030919866013916</v>
      </c>
      <c r="K91" s="364">
        <v>0.87027863777089787</v>
      </c>
      <c r="L91" s="364">
        <v>0.80013368983957223</v>
      </c>
      <c r="M91" s="364">
        <v>0.8065703022339028</v>
      </c>
      <c r="N91" s="364">
        <v>0.89896154925624472</v>
      </c>
      <c r="O91" s="364">
        <v>0.9721504450186621</v>
      </c>
      <c r="P91" s="364">
        <v>0.89005621601695695</v>
      </c>
      <c r="Q91" s="364">
        <v>1.3418628454452406</v>
      </c>
      <c r="R91" s="364">
        <v>0</v>
      </c>
      <c r="S91" s="364">
        <v>0</v>
      </c>
      <c r="T91" s="364">
        <v>0.34137661661314123</v>
      </c>
      <c r="U91" s="364">
        <v>0.75464383782910682</v>
      </c>
    </row>
    <row r="92" spans="2:21" s="333" customFormat="1" ht="16.05" customHeight="1" x14ac:dyDescent="0.45">
      <c r="B92" s="295"/>
      <c r="C92" s="301" t="s">
        <v>92</v>
      </c>
      <c r="D92" s="302"/>
      <c r="E92" s="362">
        <v>0.85908726981585271</v>
      </c>
      <c r="F92" s="362">
        <v>1.0900473933649288</v>
      </c>
      <c r="G92" s="362">
        <v>0.88049344641480343</v>
      </c>
      <c r="H92" s="362">
        <v>0.93446264926409328</v>
      </c>
      <c r="I92" s="362">
        <v>0.85485232067510553</v>
      </c>
      <c r="J92" s="362">
        <v>1.0009140767824498</v>
      </c>
      <c r="K92" s="362">
        <v>0.99515972894482096</v>
      </c>
      <c r="L92" s="362">
        <v>0.9468599033816425</v>
      </c>
      <c r="M92" s="362">
        <v>0.82380506091846295</v>
      </c>
      <c r="N92" s="362">
        <v>0.91329479768786126</v>
      </c>
      <c r="O92" s="362">
        <v>0.96299999999999997</v>
      </c>
      <c r="P92" s="362">
        <v>0.89855072463768115</v>
      </c>
      <c r="Q92" s="362">
        <v>1.2706270627062706</v>
      </c>
      <c r="R92" s="362">
        <v>0</v>
      </c>
      <c r="S92" s="362">
        <v>0</v>
      </c>
      <c r="T92" s="362">
        <v>0.37856440511307771</v>
      </c>
      <c r="U92" s="362">
        <v>0.79929604407376231</v>
      </c>
    </row>
    <row r="93" spans="2:21" s="333" customFormat="1" ht="16.05" customHeight="1" x14ac:dyDescent="0.45">
      <c r="B93" s="291" t="s">
        <v>70</v>
      </c>
      <c r="C93" s="292"/>
      <c r="D93" s="292"/>
      <c r="E93" s="360">
        <v>1.4084648975478671</v>
      </c>
      <c r="F93" s="360">
        <v>1.4678436317780581</v>
      </c>
      <c r="G93" s="360">
        <v>1.2361241768579492</v>
      </c>
      <c r="H93" s="360">
        <v>1.3625816910684432</v>
      </c>
      <c r="I93" s="360">
        <v>1.1733468200783916</v>
      </c>
      <c r="J93" s="360">
        <v>1.4168624740843123</v>
      </c>
      <c r="K93" s="360">
        <v>1.216860183841316</v>
      </c>
      <c r="L93" s="360">
        <v>1.2639671963095849</v>
      </c>
      <c r="M93" s="360">
        <v>0.87808510638297876</v>
      </c>
      <c r="N93" s="360">
        <v>0.86884558977582238</v>
      </c>
      <c r="O93" s="360">
        <v>0.91379668049792528</v>
      </c>
      <c r="P93" s="360">
        <v>0.88704260826978243</v>
      </c>
      <c r="Q93" s="360">
        <v>0.99845229424617621</v>
      </c>
      <c r="R93" s="360">
        <v>0</v>
      </c>
      <c r="S93" s="360">
        <v>0</v>
      </c>
      <c r="T93" s="360">
        <v>0.35562112908978888</v>
      </c>
      <c r="U93" s="360">
        <v>0.90481204180315078</v>
      </c>
    </row>
    <row r="94" spans="2:21" s="333" customFormat="1" ht="16.05" customHeight="1" x14ac:dyDescent="0.45">
      <c r="B94" s="313"/>
      <c r="C94" s="296" t="s">
        <v>72</v>
      </c>
      <c r="D94" s="297"/>
      <c r="E94" s="361">
        <v>1.5786614936954413</v>
      </c>
      <c r="F94" s="361">
        <v>1.5278339151203379</v>
      </c>
      <c r="G94" s="361">
        <v>1.2824629773967264</v>
      </c>
      <c r="H94" s="361">
        <v>1.4507141597601834</v>
      </c>
      <c r="I94" s="361">
        <v>1.1581077309517165</v>
      </c>
      <c r="J94" s="361">
        <v>1.436104218362283</v>
      </c>
      <c r="K94" s="361">
        <v>1.2262111303883625</v>
      </c>
      <c r="L94" s="361">
        <v>1.2672099303548585</v>
      </c>
      <c r="M94" s="361">
        <v>0.88173190984578886</v>
      </c>
      <c r="N94" s="361">
        <v>0.88167983956588414</v>
      </c>
      <c r="O94" s="361">
        <v>0.91842135542515246</v>
      </c>
      <c r="P94" s="361">
        <v>0.89417141964215952</v>
      </c>
      <c r="Q94" s="361">
        <v>1.0130561414080546</v>
      </c>
      <c r="R94" s="361">
        <v>0</v>
      </c>
      <c r="S94" s="361">
        <v>0</v>
      </c>
      <c r="T94" s="361">
        <v>0.36348239703073765</v>
      </c>
      <c r="U94" s="361">
        <v>0.92276071674556404</v>
      </c>
    </row>
    <row r="95" spans="2:21" s="333" customFormat="1" ht="16.05" customHeight="1" x14ac:dyDescent="0.45">
      <c r="B95" s="314"/>
      <c r="C95" s="301" t="s">
        <v>92</v>
      </c>
      <c r="D95" s="302"/>
      <c r="E95" s="362">
        <v>0.31038798498122655</v>
      </c>
      <c r="F95" s="362">
        <v>1.1054384017758048</v>
      </c>
      <c r="G95" s="362">
        <v>0.9463937621832359</v>
      </c>
      <c r="H95" s="362">
        <v>0.81254585473220842</v>
      </c>
      <c r="I95" s="362">
        <v>1.3203230148048453</v>
      </c>
      <c r="J95" s="362">
        <v>1.2592121982210926</v>
      </c>
      <c r="K95" s="362">
        <v>1.1264516129032258</v>
      </c>
      <c r="L95" s="362">
        <v>1.2342733188720174</v>
      </c>
      <c r="M95" s="362">
        <v>0.84639175257731958</v>
      </c>
      <c r="N95" s="362">
        <v>0.76707202993451828</v>
      </c>
      <c r="O95" s="362">
        <v>0.87144362486828242</v>
      </c>
      <c r="P95" s="362">
        <v>0.82597054886211507</v>
      </c>
      <c r="Q95" s="362">
        <v>0.85686465433300874</v>
      </c>
      <c r="R95" s="362">
        <v>0</v>
      </c>
      <c r="S95" s="362">
        <v>0</v>
      </c>
      <c r="T95" s="362">
        <v>0.28497409326424872</v>
      </c>
      <c r="U95" s="362">
        <v>0.75700009003331237</v>
      </c>
    </row>
    <row r="96" spans="2:21" s="333" customFormat="1" ht="16.05" customHeight="1" x14ac:dyDescent="0.45">
      <c r="B96" s="291" t="s">
        <v>112</v>
      </c>
      <c r="C96" s="292"/>
      <c r="D96" s="292"/>
      <c r="E96" s="360">
        <v>0.91373847926267282</v>
      </c>
      <c r="F96" s="360">
        <v>0.89614476789929187</v>
      </c>
      <c r="G96" s="360">
        <v>0.75326321125332663</v>
      </c>
      <c r="H96" s="360">
        <v>0.82587638376383765</v>
      </c>
      <c r="I96" s="360">
        <v>0.84460569550930997</v>
      </c>
      <c r="J96" s="360">
        <v>0.74663810543853382</v>
      </c>
      <c r="K96" s="360">
        <v>0.77979580870499732</v>
      </c>
      <c r="L96" s="360">
        <v>0.78758196065888375</v>
      </c>
      <c r="M96" s="360">
        <v>0.88803188070446071</v>
      </c>
      <c r="N96" s="360">
        <v>0.80765510570678456</v>
      </c>
      <c r="O96" s="360">
        <v>1.0920510304219824</v>
      </c>
      <c r="P96" s="360">
        <v>0.94743315083710222</v>
      </c>
      <c r="Q96" s="360">
        <v>1.0372492836676217</v>
      </c>
      <c r="R96" s="360">
        <v>0</v>
      </c>
      <c r="S96" s="360">
        <v>0</v>
      </c>
      <c r="T96" s="360">
        <v>0.36282112148546714</v>
      </c>
      <c r="U96" s="360">
        <v>0.75883930993599724</v>
      </c>
    </row>
    <row r="97" spans="2:21" s="333" customFormat="1" ht="16.05" customHeight="1" x14ac:dyDescent="0.45">
      <c r="B97" s="295"/>
      <c r="C97" s="296" t="s">
        <v>112</v>
      </c>
      <c r="D97" s="297"/>
      <c r="E97" s="361">
        <v>0.84215718513646831</v>
      </c>
      <c r="F97" s="361">
        <v>0.98959284279715176</v>
      </c>
      <c r="G97" s="361">
        <v>0.8468025298664793</v>
      </c>
      <c r="H97" s="361">
        <v>0.87773947303619793</v>
      </c>
      <c r="I97" s="361">
        <v>0.89359556227937464</v>
      </c>
      <c r="J97" s="361">
        <v>1.01539338654504</v>
      </c>
      <c r="K97" s="361">
        <v>0.9538385987886725</v>
      </c>
      <c r="L97" s="361">
        <v>0.95184757505773676</v>
      </c>
      <c r="M97" s="361">
        <v>0.89675419996737893</v>
      </c>
      <c r="N97" s="361">
        <v>0.9123809523809524</v>
      </c>
      <c r="O97" s="361">
        <v>1.0897689002438742</v>
      </c>
      <c r="P97" s="361">
        <v>0.98592489854625776</v>
      </c>
      <c r="Q97" s="361">
        <v>0.97130532633158284</v>
      </c>
      <c r="R97" s="361">
        <v>0</v>
      </c>
      <c r="S97" s="361">
        <v>0</v>
      </c>
      <c r="T97" s="361">
        <v>0.35863167370680699</v>
      </c>
      <c r="U97" s="361">
        <v>0.82341191099822741</v>
      </c>
    </row>
    <row r="98" spans="2:21" s="333" customFormat="1" ht="16.05" customHeight="1" x14ac:dyDescent="0.45">
      <c r="B98" s="295"/>
      <c r="C98" s="309" t="s">
        <v>92</v>
      </c>
      <c r="D98" s="310"/>
      <c r="E98" s="364">
        <v>1.4187935034802783</v>
      </c>
      <c r="F98" s="364">
        <v>0.65798045602605859</v>
      </c>
      <c r="G98" s="364">
        <v>0.35058823529411764</v>
      </c>
      <c r="H98" s="364">
        <v>0.61476779151353156</v>
      </c>
      <c r="I98" s="364">
        <v>0.62952029520295205</v>
      </c>
      <c r="J98" s="364">
        <v>0.29640241961158864</v>
      </c>
      <c r="K98" s="364">
        <v>0.44712140175219023</v>
      </c>
      <c r="L98" s="364">
        <v>0.41770670826833073</v>
      </c>
      <c r="M98" s="364">
        <v>0.85558252427184467</v>
      </c>
      <c r="N98" s="364">
        <v>0.61066878980891715</v>
      </c>
      <c r="O98" s="364">
        <v>1.1044965167827738</v>
      </c>
      <c r="P98" s="364">
        <v>0.81686705000871229</v>
      </c>
      <c r="Q98" s="364">
        <v>1.3079291762894534</v>
      </c>
      <c r="R98" s="364">
        <v>0</v>
      </c>
      <c r="S98" s="364">
        <v>0</v>
      </c>
      <c r="T98" s="364">
        <v>0.37621789193976973</v>
      </c>
      <c r="U98" s="364">
        <v>0.55488237997743706</v>
      </c>
    </row>
    <row r="99" spans="2:21" s="333" customFormat="1" ht="16.05" customHeight="1" x14ac:dyDescent="0.45">
      <c r="B99" s="291" t="s">
        <v>143</v>
      </c>
      <c r="C99" s="315"/>
      <c r="D99" s="315"/>
      <c r="E99" s="365">
        <v>0.91025641025641024</v>
      </c>
      <c r="F99" s="365">
        <v>0.85828279604213209</v>
      </c>
      <c r="G99" s="365">
        <v>1.1165240289664253</v>
      </c>
      <c r="H99" s="365">
        <v>0.96059915337023771</v>
      </c>
      <c r="I99" s="365">
        <v>0.83013698630136989</v>
      </c>
      <c r="J99" s="365">
        <v>0.98773006134969321</v>
      </c>
      <c r="K99" s="365">
        <v>0.74554455445544554</v>
      </c>
      <c r="L99" s="365">
        <v>0.85381830718841578</v>
      </c>
      <c r="M99" s="365">
        <v>1.2566371681415929</v>
      </c>
      <c r="N99" s="365">
        <v>1.46168108776267</v>
      </c>
      <c r="O99" s="365">
        <v>1.3296385542168674</v>
      </c>
      <c r="P99" s="365">
        <v>1.352346999405823</v>
      </c>
      <c r="Q99" s="365">
        <v>1.2679449360865289</v>
      </c>
      <c r="R99" s="365">
        <v>0</v>
      </c>
      <c r="S99" s="365">
        <v>0</v>
      </c>
      <c r="T99" s="365">
        <v>0.37534565565419881</v>
      </c>
      <c r="U99" s="365">
        <v>0.86173609564119702</v>
      </c>
    </row>
    <row r="100" spans="2:21" s="333" customFormat="1" ht="16.05" customHeight="1" x14ac:dyDescent="0.45">
      <c r="B100" s="291" t="s">
        <v>116</v>
      </c>
      <c r="C100" s="292"/>
      <c r="D100" s="292"/>
      <c r="E100" s="360">
        <v>0.77896936572819542</v>
      </c>
      <c r="F100" s="360">
        <v>0.92015973206234702</v>
      </c>
      <c r="G100" s="360">
        <v>0.8966174055829228</v>
      </c>
      <c r="H100" s="360">
        <v>0.86374144771782935</v>
      </c>
      <c r="I100" s="360">
        <v>0.84282505949787145</v>
      </c>
      <c r="J100" s="360">
        <v>0.82932044522554194</v>
      </c>
      <c r="K100" s="360">
        <v>0.8222509778548952</v>
      </c>
      <c r="L100" s="360">
        <v>0.8309790152690455</v>
      </c>
      <c r="M100" s="360">
        <v>0.83252874572105684</v>
      </c>
      <c r="N100" s="360">
        <v>0.88971729405678468</v>
      </c>
      <c r="O100" s="360">
        <v>0.8624798312026809</v>
      </c>
      <c r="P100" s="360">
        <v>0.86118386589837614</v>
      </c>
      <c r="Q100" s="360">
        <v>1.0349935468731668</v>
      </c>
      <c r="R100" s="360">
        <v>0</v>
      </c>
      <c r="S100" s="360">
        <v>0</v>
      </c>
      <c r="T100" s="360">
        <v>0.30223474693139868</v>
      </c>
      <c r="U100" s="360">
        <v>0.70760157184968342</v>
      </c>
    </row>
    <row r="101" spans="2:21" s="333" customFormat="1" ht="16.05" customHeight="1" x14ac:dyDescent="0.45">
      <c r="B101" s="295"/>
      <c r="C101" s="296" t="s">
        <v>76</v>
      </c>
      <c r="D101" s="297"/>
      <c r="E101" s="361">
        <v>0.85526632923596047</v>
      </c>
      <c r="F101" s="361">
        <v>0.74799208473984402</v>
      </c>
      <c r="G101" s="361">
        <v>0.96678428032607377</v>
      </c>
      <c r="H101" s="361">
        <v>0.85506611438585312</v>
      </c>
      <c r="I101" s="361">
        <v>0.58453769806721223</v>
      </c>
      <c r="J101" s="361">
        <v>0.83868992959902056</v>
      </c>
      <c r="K101" s="361">
        <v>0.84037865186877758</v>
      </c>
      <c r="L101" s="361">
        <v>0.75994349054553356</v>
      </c>
      <c r="M101" s="361">
        <v>0.91902313624678666</v>
      </c>
      <c r="N101" s="361">
        <v>1.1100679184978026</v>
      </c>
      <c r="O101" s="361">
        <v>1.1660178612319669</v>
      </c>
      <c r="P101" s="361">
        <v>1.0563465820905593</v>
      </c>
      <c r="Q101" s="361">
        <v>1.3698431845597105</v>
      </c>
      <c r="R101" s="361">
        <v>0</v>
      </c>
      <c r="S101" s="361">
        <v>0</v>
      </c>
      <c r="T101" s="361">
        <v>0.30705169803158122</v>
      </c>
      <c r="U101" s="361">
        <v>0.73919268968928575</v>
      </c>
    </row>
    <row r="102" spans="2:21" s="333" customFormat="1" ht="16.05" customHeight="1" x14ac:dyDescent="0.45">
      <c r="B102" s="295"/>
      <c r="C102" s="309" t="s">
        <v>80</v>
      </c>
      <c r="D102" s="310"/>
      <c r="E102" s="364">
        <v>0.48301726577979054</v>
      </c>
      <c r="F102" s="364">
        <v>1.1258842443729904</v>
      </c>
      <c r="G102" s="364">
        <v>1.1118087418497948</v>
      </c>
      <c r="H102" s="364">
        <v>0.90986646884272993</v>
      </c>
      <c r="I102" s="364">
        <v>0.88239020270270274</v>
      </c>
      <c r="J102" s="364">
        <v>0.90272983997489797</v>
      </c>
      <c r="K102" s="364">
        <v>0.64132762312633829</v>
      </c>
      <c r="L102" s="364">
        <v>0.80043064369900274</v>
      </c>
      <c r="M102" s="364">
        <v>0.68722849695916599</v>
      </c>
      <c r="N102" s="364">
        <v>0.7948023822414727</v>
      </c>
      <c r="O102" s="364">
        <v>0.73672566371681414</v>
      </c>
      <c r="P102" s="364">
        <v>0.74105106593951409</v>
      </c>
      <c r="Q102" s="364">
        <v>1.0854163218010264</v>
      </c>
      <c r="R102" s="364">
        <v>0</v>
      </c>
      <c r="S102" s="364">
        <v>0</v>
      </c>
      <c r="T102" s="364">
        <v>0.29412820167765669</v>
      </c>
      <c r="U102" s="364">
        <v>0.67647742993915205</v>
      </c>
    </row>
    <row r="103" spans="2:21" s="333" customFormat="1" ht="16.05" customHeight="1" x14ac:dyDescent="0.45">
      <c r="B103" s="295"/>
      <c r="C103" s="309" t="s">
        <v>78</v>
      </c>
      <c r="D103" s="310"/>
      <c r="E103" s="364">
        <v>0.85028445952689891</v>
      </c>
      <c r="F103" s="364">
        <v>0.81361570018849094</v>
      </c>
      <c r="G103" s="364">
        <v>0.78336371486136425</v>
      </c>
      <c r="H103" s="364">
        <v>0.81538304877634837</v>
      </c>
      <c r="I103" s="364">
        <v>0.70470423847228691</v>
      </c>
      <c r="J103" s="364">
        <v>0.60704676489429854</v>
      </c>
      <c r="K103" s="364">
        <v>0.68695081967213112</v>
      </c>
      <c r="L103" s="364">
        <v>0.66366421288464172</v>
      </c>
      <c r="M103" s="364">
        <v>0.64898170968997271</v>
      </c>
      <c r="N103" s="364">
        <v>0.62442748091603051</v>
      </c>
      <c r="O103" s="364">
        <v>0.60494151662504925</v>
      </c>
      <c r="P103" s="364">
        <v>0.62614861746318129</v>
      </c>
      <c r="Q103" s="364">
        <v>0.57244035785288272</v>
      </c>
      <c r="R103" s="364">
        <v>0</v>
      </c>
      <c r="S103" s="364">
        <v>0</v>
      </c>
      <c r="T103" s="364">
        <v>0.16747246355738121</v>
      </c>
      <c r="U103" s="364">
        <v>0.56554726610436912</v>
      </c>
    </row>
    <row r="104" spans="2:21" s="333" customFormat="1" ht="16.05" customHeight="1" x14ac:dyDescent="0.45">
      <c r="B104" s="295"/>
      <c r="C104" s="309" t="s">
        <v>88</v>
      </c>
      <c r="D104" s="310"/>
      <c r="E104" s="364">
        <v>0.75126658624849219</v>
      </c>
      <c r="F104" s="364">
        <v>0.86643638457109962</v>
      </c>
      <c r="G104" s="364">
        <v>0.69244579477972656</v>
      </c>
      <c r="H104" s="364">
        <v>0.76791672227412255</v>
      </c>
      <c r="I104" s="366">
        <v>0.91402973694243228</v>
      </c>
      <c r="J104" s="364">
        <v>0.76925795053003532</v>
      </c>
      <c r="K104" s="364">
        <v>0.8808066258552395</v>
      </c>
      <c r="L104" s="364">
        <v>0.85303766707168893</v>
      </c>
      <c r="M104" s="364">
        <v>0.8465366242038217</v>
      </c>
      <c r="N104" s="364">
        <v>0.86017501396388008</v>
      </c>
      <c r="O104" s="364">
        <v>0.95644926026255472</v>
      </c>
      <c r="P104" s="364">
        <v>0.88607345004607085</v>
      </c>
      <c r="Q104" s="364">
        <v>1.0532714765637499</v>
      </c>
      <c r="R104" s="364">
        <v>0</v>
      </c>
      <c r="S104" s="364">
        <v>0</v>
      </c>
      <c r="T104" s="364">
        <v>0.36430033752005753</v>
      </c>
      <c r="U104" s="364">
        <v>0.71115973741794314</v>
      </c>
    </row>
    <row r="105" spans="2:21" s="333" customFormat="1" ht="16.05" customHeight="1" x14ac:dyDescent="0.45">
      <c r="B105" s="300"/>
      <c r="C105" s="301" t="s">
        <v>92</v>
      </c>
      <c r="D105" s="302"/>
      <c r="E105" s="362">
        <v>0.87754481920388938</v>
      </c>
      <c r="F105" s="362">
        <v>1.1109866865745925</v>
      </c>
      <c r="G105" s="362">
        <v>0.92267593397046044</v>
      </c>
      <c r="H105" s="362">
        <v>0.9589734874235214</v>
      </c>
      <c r="I105" s="362">
        <v>1.0791704708490935</v>
      </c>
      <c r="J105" s="362">
        <v>1.0283249645937942</v>
      </c>
      <c r="K105" s="362">
        <v>1.0402010050251256</v>
      </c>
      <c r="L105" s="362">
        <v>1.0489551985758487</v>
      </c>
      <c r="M105" s="362">
        <v>1.0389267648999341</v>
      </c>
      <c r="N105" s="362">
        <v>1.1960188421212581</v>
      </c>
      <c r="O105" s="362">
        <v>0.95875535136263967</v>
      </c>
      <c r="P105" s="362">
        <v>1.0494614287977191</v>
      </c>
      <c r="Q105" s="362">
        <v>1.2344124076194443</v>
      </c>
      <c r="R105" s="362">
        <v>0</v>
      </c>
      <c r="S105" s="362">
        <v>0</v>
      </c>
      <c r="T105" s="362">
        <v>0.3903554970375247</v>
      </c>
      <c r="U105" s="362">
        <v>0.84054489392056697</v>
      </c>
    </row>
    <row r="106" spans="2:21" s="333" customFormat="1" ht="16.05" customHeight="1" x14ac:dyDescent="0.45">
      <c r="B106" s="291" t="s">
        <v>90</v>
      </c>
      <c r="C106" s="292"/>
      <c r="D106" s="292"/>
      <c r="E106" s="360">
        <v>0.68211075846112779</v>
      </c>
      <c r="F106" s="360">
        <v>0.7448657879756535</v>
      </c>
      <c r="G106" s="360">
        <v>0.91113789061855155</v>
      </c>
      <c r="H106" s="360">
        <v>0.76282848739090603</v>
      </c>
      <c r="I106" s="360">
        <v>0.59260010273880015</v>
      </c>
      <c r="J106" s="360">
        <v>0.83288608816257614</v>
      </c>
      <c r="K106" s="360">
        <v>0.84784118532237529</v>
      </c>
      <c r="L106" s="360">
        <v>0.75294387301951127</v>
      </c>
      <c r="M106" s="360">
        <v>0.85247455313986764</v>
      </c>
      <c r="N106" s="360">
        <v>0.93671506892504952</v>
      </c>
      <c r="O106" s="360">
        <v>0.87158565737051796</v>
      </c>
      <c r="P106" s="360">
        <v>0.88728722233166091</v>
      </c>
      <c r="Q106" s="360">
        <v>0.79563165986322426</v>
      </c>
      <c r="R106" s="360">
        <v>0</v>
      </c>
      <c r="S106" s="360">
        <v>0</v>
      </c>
      <c r="T106" s="360">
        <v>0.22712551832682587</v>
      </c>
      <c r="U106" s="360">
        <v>0.61971166122771215</v>
      </c>
    </row>
    <row r="107" spans="2:21" s="333" customFormat="1" ht="16.05" customHeight="1" x14ac:dyDescent="0.45">
      <c r="B107" s="295"/>
      <c r="C107" s="318" t="s">
        <v>38</v>
      </c>
      <c r="D107" s="319" t="s">
        <v>94</v>
      </c>
      <c r="E107" s="361">
        <v>0.68677193890758481</v>
      </c>
      <c r="F107" s="361">
        <v>0.79012498965317446</v>
      </c>
      <c r="G107" s="361">
        <v>0.97692409854572015</v>
      </c>
      <c r="H107" s="361">
        <v>0.79046160093021534</v>
      </c>
      <c r="I107" s="361">
        <v>0.68863025962399282</v>
      </c>
      <c r="J107" s="361">
        <v>0.65906712513081178</v>
      </c>
      <c r="K107" s="361">
        <v>0.87218698409940043</v>
      </c>
      <c r="L107" s="361">
        <v>0.73625093601797154</v>
      </c>
      <c r="M107" s="361">
        <v>0.74103265240469685</v>
      </c>
      <c r="N107" s="361">
        <v>0.86883124884480312</v>
      </c>
      <c r="O107" s="361">
        <v>0.80333503778194426</v>
      </c>
      <c r="P107" s="361">
        <v>0.80525372408834517</v>
      </c>
      <c r="Q107" s="361">
        <v>0.78341649324273499</v>
      </c>
      <c r="R107" s="361">
        <v>0</v>
      </c>
      <c r="S107" s="361">
        <v>0</v>
      </c>
      <c r="T107" s="361">
        <v>0.2155481663401308</v>
      </c>
      <c r="U107" s="361">
        <v>0.5998200930822748</v>
      </c>
    </row>
    <row r="108" spans="2:21" s="333" customFormat="1" ht="16.05" customHeight="1" x14ac:dyDescent="0.45">
      <c r="B108" s="295"/>
      <c r="C108" s="320"/>
      <c r="D108" s="321" t="s">
        <v>96</v>
      </c>
      <c r="E108" s="367">
        <v>0.67669958830179822</v>
      </c>
      <c r="F108" s="367">
        <v>0.69085114360704913</v>
      </c>
      <c r="G108" s="367">
        <v>0.84402096864593978</v>
      </c>
      <c r="H108" s="367">
        <v>0.73126255758731962</v>
      </c>
      <c r="I108" s="367">
        <v>0.51123511904761909</v>
      </c>
      <c r="J108" s="367">
        <v>1.0993171704772133</v>
      </c>
      <c r="K108" s="367">
        <v>0.82331078138157321</v>
      </c>
      <c r="L108" s="367">
        <v>0.7698731490572962</v>
      </c>
      <c r="M108" s="367">
        <v>1.013965180150824</v>
      </c>
      <c r="N108" s="367">
        <v>1.026044005388415</v>
      </c>
      <c r="O108" s="367">
        <v>0.95913672217353196</v>
      </c>
      <c r="P108" s="367">
        <v>0.99753281626978174</v>
      </c>
      <c r="Q108" s="367">
        <v>0.80954803697108457</v>
      </c>
      <c r="R108" s="367">
        <v>0</v>
      </c>
      <c r="S108" s="367">
        <v>0</v>
      </c>
      <c r="T108" s="367">
        <v>0.2409195673020306</v>
      </c>
      <c r="U108" s="367">
        <v>0.6422329923547947</v>
      </c>
    </row>
    <row r="109" spans="2:21" s="333" customFormat="1" ht="16.05" customHeight="1" x14ac:dyDescent="0.45">
      <c r="B109" s="295"/>
      <c r="C109" s="324" t="s">
        <v>92</v>
      </c>
      <c r="D109" s="325"/>
      <c r="E109" s="368">
        <v>0.6910112359550562</v>
      </c>
      <c r="F109" s="368">
        <v>1.0795454545454546</v>
      </c>
      <c r="G109" s="368">
        <v>1.3359375</v>
      </c>
      <c r="H109" s="368">
        <v>1.004149377593361</v>
      </c>
      <c r="I109" s="368">
        <v>1.0277777777777777</v>
      </c>
      <c r="J109" s="368">
        <v>1.0692307692307692</v>
      </c>
      <c r="K109" s="368">
        <v>0.87671232876712324</v>
      </c>
      <c r="L109" s="368">
        <v>0.98809523809523814</v>
      </c>
      <c r="M109" s="368">
        <v>0.82631578947368423</v>
      </c>
      <c r="N109" s="368">
        <v>1.053030303030303</v>
      </c>
      <c r="O109" s="368">
        <v>0.90243902439024393</v>
      </c>
      <c r="P109" s="368">
        <v>0.9135802469135802</v>
      </c>
      <c r="Q109" s="368">
        <v>0.76842105263157889</v>
      </c>
      <c r="R109" s="368">
        <v>0</v>
      </c>
      <c r="S109" s="368">
        <v>0</v>
      </c>
      <c r="T109" s="368">
        <v>0.30801687763713081</v>
      </c>
      <c r="U109" s="368">
        <v>0.7996777658431794</v>
      </c>
    </row>
    <row r="110" spans="2:21" ht="7.05" customHeight="1" thickBot="1" x14ac:dyDescent="0.5">
      <c r="B110" s="146"/>
      <c r="C110" s="89"/>
      <c r="D110" s="89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</row>
    <row r="111" spans="2:21" s="357" customFormat="1" ht="16.05" customHeight="1" thickBot="1" x14ac:dyDescent="0.5">
      <c r="B111" s="331" t="s">
        <v>118</v>
      </c>
      <c r="C111" s="512"/>
      <c r="D111" s="512"/>
      <c r="E111" s="514">
        <v>0.87888990218246776</v>
      </c>
      <c r="F111" s="514">
        <v>0.9415338719175691</v>
      </c>
      <c r="G111" s="514">
        <v>1.0307777733708801</v>
      </c>
      <c r="H111" s="514">
        <v>0.953494789146206</v>
      </c>
      <c r="I111" s="514">
        <v>0.95188274145402973</v>
      </c>
      <c r="J111" s="514">
        <v>0.95912183353437874</v>
      </c>
      <c r="K111" s="514">
        <v>0.92263216748863996</v>
      </c>
      <c r="L111" s="514">
        <v>0.94451367787742579</v>
      </c>
      <c r="M111" s="514">
        <v>0.92433539859562164</v>
      </c>
      <c r="N111" s="514">
        <v>0.93009397645291059</v>
      </c>
      <c r="O111" s="514">
        <v>0.94421096458985254</v>
      </c>
      <c r="P111" s="514">
        <v>0.93291243087447584</v>
      </c>
      <c r="Q111" s="514">
        <v>0.94397853177768376</v>
      </c>
      <c r="R111" s="514">
        <v>0</v>
      </c>
      <c r="S111" s="514">
        <v>0</v>
      </c>
      <c r="T111" s="514">
        <v>0.28997944583103519</v>
      </c>
      <c r="U111" s="515">
        <v>0.77074387190589366</v>
      </c>
    </row>
    <row r="112" spans="2:21" ht="16.05" customHeight="1" x14ac:dyDescent="0.45">
      <c r="B112" s="201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</row>
    <row r="113" spans="2:21" s="333" customFormat="1" ht="16.05" customHeight="1" x14ac:dyDescent="0.45">
      <c r="B113" s="291" t="s">
        <v>120</v>
      </c>
      <c r="C113" s="292"/>
      <c r="D113" s="292"/>
      <c r="E113" s="360">
        <v>0.86912490855888802</v>
      </c>
      <c r="F113" s="360">
        <v>0.88119082939127891</v>
      </c>
      <c r="G113" s="360">
        <v>1.0181422614998781</v>
      </c>
      <c r="H113" s="360">
        <v>0.92744056786471274</v>
      </c>
      <c r="I113" s="360">
        <v>0.92470112173020835</v>
      </c>
      <c r="J113" s="360">
        <v>0.97966522931734501</v>
      </c>
      <c r="K113" s="360">
        <v>0.89906121315601351</v>
      </c>
      <c r="L113" s="360">
        <v>0.93486479695382418</v>
      </c>
      <c r="M113" s="360">
        <v>0.91791382365137408</v>
      </c>
      <c r="N113" s="360">
        <v>0.9141523384267447</v>
      </c>
      <c r="O113" s="360">
        <v>0.95033442077817387</v>
      </c>
      <c r="P113" s="360">
        <v>0.9270884950518874</v>
      </c>
      <c r="Q113" s="360">
        <v>0.99224534042893919</v>
      </c>
      <c r="R113" s="360">
        <v>0</v>
      </c>
      <c r="S113" s="360">
        <v>0</v>
      </c>
      <c r="T113" s="360">
        <v>0.29961296466093956</v>
      </c>
      <c r="U113" s="360">
        <v>0.76614149873337489</v>
      </c>
    </row>
    <row r="114" spans="2:21" s="333" customFormat="1" ht="16.05" customHeight="1" x14ac:dyDescent="0.45">
      <c r="B114" s="334"/>
      <c r="C114" s="296" t="s">
        <v>122</v>
      </c>
      <c r="D114" s="297"/>
      <c r="E114" s="361">
        <v>0.91865066279759944</v>
      </c>
      <c r="F114" s="361">
        <v>0.80201120275217219</v>
      </c>
      <c r="G114" s="361">
        <v>0.95586362478623144</v>
      </c>
      <c r="H114" s="361">
        <v>0.89849904326433239</v>
      </c>
      <c r="I114" s="361">
        <v>0.86853208087884093</v>
      </c>
      <c r="J114" s="361">
        <v>0.91239023051591661</v>
      </c>
      <c r="K114" s="361">
        <v>1.0234126382785271</v>
      </c>
      <c r="L114" s="361">
        <v>0.93505801269337563</v>
      </c>
      <c r="M114" s="361">
        <v>0.90934940855323021</v>
      </c>
      <c r="N114" s="361">
        <v>1.0110610263522886</v>
      </c>
      <c r="O114" s="361">
        <v>1.0187039278248433</v>
      </c>
      <c r="P114" s="361">
        <v>0.98106276444843177</v>
      </c>
      <c r="Q114" s="361">
        <v>1.1695590113440013</v>
      </c>
      <c r="R114" s="361">
        <v>0</v>
      </c>
      <c r="S114" s="361">
        <v>0</v>
      </c>
      <c r="T114" s="361">
        <v>0.31794463335681972</v>
      </c>
      <c r="U114" s="361">
        <v>0.76062312993682046</v>
      </c>
    </row>
    <row r="115" spans="2:21" s="333" customFormat="1" ht="16.05" customHeight="1" x14ac:dyDescent="0.45">
      <c r="B115" s="334"/>
      <c r="C115" s="309" t="s">
        <v>124</v>
      </c>
      <c r="D115" s="310"/>
      <c r="E115" s="364">
        <v>0.91839774890341808</v>
      </c>
      <c r="F115" s="364">
        <v>0.79945905250536764</v>
      </c>
      <c r="G115" s="364">
        <v>0.89384400540280673</v>
      </c>
      <c r="H115" s="364">
        <v>0.87229798001606318</v>
      </c>
      <c r="I115" s="364">
        <v>0.86374324291566673</v>
      </c>
      <c r="J115" s="364">
        <v>1.0506458009539632</v>
      </c>
      <c r="K115" s="364">
        <v>0.93512917632426928</v>
      </c>
      <c r="L115" s="364">
        <v>0.94711669255544151</v>
      </c>
      <c r="M115" s="364">
        <v>0.99588290595519824</v>
      </c>
      <c r="N115" s="364">
        <v>0.95868705663449238</v>
      </c>
      <c r="O115" s="364">
        <v>0.95256982316972405</v>
      </c>
      <c r="P115" s="364">
        <v>0.96876374374332441</v>
      </c>
      <c r="Q115" s="364">
        <v>0.93613726461843405</v>
      </c>
      <c r="R115" s="364">
        <v>0</v>
      </c>
      <c r="S115" s="364">
        <v>0</v>
      </c>
      <c r="T115" s="364">
        <v>0.27197797253765726</v>
      </c>
      <c r="U115" s="364">
        <v>0.76005903193132496</v>
      </c>
    </row>
    <row r="116" spans="2:21" s="333" customFormat="1" ht="16.05" customHeight="1" x14ac:dyDescent="0.45">
      <c r="B116" s="334"/>
      <c r="C116" s="309" t="s">
        <v>126</v>
      </c>
      <c r="D116" s="310"/>
      <c r="E116" s="364">
        <v>0.93590977122086805</v>
      </c>
      <c r="F116" s="364">
        <v>0.96849140049140048</v>
      </c>
      <c r="G116" s="364">
        <v>1.2172375308486725</v>
      </c>
      <c r="H116" s="364">
        <v>1.0505228114596521</v>
      </c>
      <c r="I116" s="364">
        <v>1.1265528216009035</v>
      </c>
      <c r="J116" s="364">
        <v>1.1165457753381689</v>
      </c>
      <c r="K116" s="364">
        <v>0.94540947029171141</v>
      </c>
      <c r="L116" s="364">
        <v>1.0623171753839664</v>
      </c>
      <c r="M116" s="364">
        <v>0.91638258412081608</v>
      </c>
      <c r="N116" s="364">
        <v>0.91052847971156581</v>
      </c>
      <c r="O116" s="364">
        <v>0.95312638975362451</v>
      </c>
      <c r="P116" s="364">
        <v>0.92601154099552441</v>
      </c>
      <c r="Q116" s="364">
        <v>0.95767064691406956</v>
      </c>
      <c r="R116" s="364">
        <v>0</v>
      </c>
      <c r="S116" s="364">
        <v>0</v>
      </c>
      <c r="T116" s="364">
        <v>0.29341874892471487</v>
      </c>
      <c r="U116" s="364">
        <v>0.81667023251640869</v>
      </c>
    </row>
    <row r="117" spans="2:21" s="333" customFormat="1" ht="16.05" customHeight="1" x14ac:dyDescent="0.45">
      <c r="B117" s="335"/>
      <c r="C117" s="301" t="s">
        <v>128</v>
      </c>
      <c r="D117" s="302"/>
      <c r="E117" s="362">
        <v>0.73452952541270544</v>
      </c>
      <c r="F117" s="362">
        <v>0.88717055564881653</v>
      </c>
      <c r="G117" s="362">
        <v>0.92257127041239961</v>
      </c>
      <c r="H117" s="362">
        <v>0.84955718551296111</v>
      </c>
      <c r="I117" s="362">
        <v>0.76296159299673261</v>
      </c>
      <c r="J117" s="362">
        <v>0.78653743742677606</v>
      </c>
      <c r="K117" s="362">
        <v>0.74234813332765737</v>
      </c>
      <c r="L117" s="362">
        <v>0.76393155200224416</v>
      </c>
      <c r="M117" s="362">
        <v>0.87174565351690059</v>
      </c>
      <c r="N117" s="362">
        <v>0.82502012138087055</v>
      </c>
      <c r="O117" s="362">
        <v>0.90396270396270395</v>
      </c>
      <c r="P117" s="362">
        <v>0.86663488337978578</v>
      </c>
      <c r="Q117" s="362">
        <v>0.97323697400629439</v>
      </c>
      <c r="R117" s="362">
        <v>0</v>
      </c>
      <c r="S117" s="362">
        <v>0</v>
      </c>
      <c r="T117" s="362">
        <v>0.31869885183828017</v>
      </c>
      <c r="U117" s="362">
        <v>0.70965167713942956</v>
      </c>
    </row>
    <row r="118" spans="2:21" s="333" customFormat="1" ht="16.05" customHeight="1" x14ac:dyDescent="0.45">
      <c r="C118" s="573" t="s">
        <v>148</v>
      </c>
    </row>
    <row r="119" spans="2:21" s="333" customFormat="1" ht="16.05" customHeight="1" x14ac:dyDescent="0.45">
      <c r="C119" s="341"/>
    </row>
    <row r="120" spans="2:21" s="333" customFormat="1" ht="16.05" customHeight="1" x14ac:dyDescent="0.45">
      <c r="B120" s="572" t="s">
        <v>145</v>
      </c>
    </row>
    <row r="121" spans="2:21" s="333" customFormat="1" ht="16.05" customHeight="1" x14ac:dyDescent="0.45">
      <c r="B121" s="333" t="s">
        <v>146</v>
      </c>
    </row>
  </sheetData>
  <mergeCells count="17">
    <mergeCell ref="E82:U82"/>
    <mergeCell ref="H83:H84"/>
    <mergeCell ref="L83:L84"/>
    <mergeCell ref="P83:P84"/>
    <mergeCell ref="T83:T84"/>
    <mergeCell ref="B42:C42"/>
    <mergeCell ref="E43:U43"/>
    <mergeCell ref="H44:H45"/>
    <mergeCell ref="B3:C3"/>
    <mergeCell ref="E4:U4"/>
    <mergeCell ref="H5:H6"/>
    <mergeCell ref="L5:L6"/>
    <mergeCell ref="P5:P6"/>
    <mergeCell ref="T5:T6"/>
    <mergeCell ref="L44:L45"/>
    <mergeCell ref="P44:P45"/>
    <mergeCell ref="T44:T45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7A1E-41FE-4EB0-8913-2950A75E30B4}">
  <sheetPr>
    <pageSetUpPr fitToPage="1"/>
  </sheetPr>
  <dimension ref="B2:AB105"/>
  <sheetViews>
    <sheetView showGridLines="0" zoomScale="55" zoomScaleNormal="55" zoomScalePageLayoutView="55" workbookViewId="0">
      <selection activeCell="I2" sqref="I2"/>
    </sheetView>
  </sheetViews>
  <sheetFormatPr defaultColWidth="8.09765625" defaultRowHeight="15" outlineLevelRow="1" x14ac:dyDescent="0.45"/>
  <cols>
    <col min="1" max="2" width="8.59765625" style="190" customWidth="1"/>
    <col min="3" max="3" width="8.09765625" style="190"/>
    <col min="4" max="4" width="37.5" style="190" customWidth="1"/>
    <col min="5" max="7" width="13.59765625" style="190" customWidth="1"/>
    <col min="8" max="8" width="14.5" style="190" customWidth="1"/>
    <col min="9" max="11" width="13.59765625" style="190" customWidth="1"/>
    <col min="12" max="12" width="14.5" style="190" customWidth="1"/>
    <col min="13" max="15" width="13.59765625" style="190" customWidth="1"/>
    <col min="16" max="16" width="14.5" style="190" customWidth="1"/>
    <col min="17" max="19" width="13.59765625" style="190" customWidth="1"/>
    <col min="20" max="21" width="14.5" style="190" customWidth="1"/>
    <col min="22" max="22" width="2.59765625" style="190" customWidth="1"/>
    <col min="23" max="16384" width="8.09765625" style="190"/>
  </cols>
  <sheetData>
    <row r="2" spans="2:22" ht="22.8" x14ac:dyDescent="0.45">
      <c r="B2" s="189" t="s">
        <v>130</v>
      </c>
    </row>
    <row r="3" spans="2:22" ht="16.2" x14ac:dyDescent="0.3">
      <c r="B3" s="597">
        <f>E4</f>
        <v>2024</v>
      </c>
      <c r="C3" s="597"/>
      <c r="U3" s="509" t="s">
        <v>104</v>
      </c>
    </row>
    <row r="4" spans="2:22" ht="16.05" customHeight="1" x14ac:dyDescent="0.45">
      <c r="B4" s="191"/>
      <c r="C4" s="192"/>
      <c r="D4" s="192"/>
      <c r="E4" s="601">
        <v>2024</v>
      </c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3"/>
      <c r="V4" s="201"/>
    </row>
    <row r="5" spans="2:22" ht="16.05" customHeight="1" x14ac:dyDescent="0.45">
      <c r="B5" s="193"/>
      <c r="C5" s="194"/>
      <c r="D5" s="194"/>
      <c r="E5" s="147"/>
      <c r="F5" s="148"/>
      <c r="G5" s="148"/>
      <c r="H5" s="593" t="s">
        <v>165</v>
      </c>
      <c r="I5" s="214"/>
      <c r="J5" s="214"/>
      <c r="K5" s="214"/>
      <c r="L5" s="593" t="s">
        <v>166</v>
      </c>
      <c r="M5" s="214"/>
      <c r="N5" s="214"/>
      <c r="O5" s="214"/>
      <c r="P5" s="593" t="s">
        <v>167</v>
      </c>
      <c r="Q5" s="214"/>
      <c r="R5" s="214"/>
      <c r="S5" s="214"/>
      <c r="T5" s="593" t="s">
        <v>168</v>
      </c>
      <c r="U5" s="215">
        <f>E4</f>
        <v>2024</v>
      </c>
      <c r="V5" s="201"/>
    </row>
    <row r="6" spans="2:22" ht="16.05" customHeight="1" x14ac:dyDescent="0.45">
      <c r="B6" s="195"/>
      <c r="C6" s="196"/>
      <c r="D6" s="196"/>
      <c r="E6" s="216" t="s">
        <v>152</v>
      </c>
      <c r="F6" s="216" t="s">
        <v>153</v>
      </c>
      <c r="G6" s="216" t="s">
        <v>154</v>
      </c>
      <c r="H6" s="594"/>
      <c r="I6" s="217" t="s">
        <v>155</v>
      </c>
      <c r="J6" s="216" t="s">
        <v>103</v>
      </c>
      <c r="K6" s="216" t="s">
        <v>156</v>
      </c>
      <c r="L6" s="594"/>
      <c r="M6" s="217" t="s">
        <v>157</v>
      </c>
      <c r="N6" s="216" t="s">
        <v>158</v>
      </c>
      <c r="O6" s="216" t="s">
        <v>159</v>
      </c>
      <c r="P6" s="594"/>
      <c r="Q6" s="217" t="s">
        <v>160</v>
      </c>
      <c r="R6" s="216" t="s">
        <v>161</v>
      </c>
      <c r="S6" s="218" t="s">
        <v>162</v>
      </c>
      <c r="T6" s="594"/>
      <c r="U6" s="217" t="s">
        <v>39</v>
      </c>
      <c r="V6" s="201"/>
    </row>
    <row r="7" spans="2:22" s="333" customFormat="1" ht="16.2" x14ac:dyDescent="0.45">
      <c r="B7" s="291" t="s">
        <v>56</v>
      </c>
      <c r="C7" s="292"/>
      <c r="D7" s="292"/>
      <c r="E7" s="369">
        <v>22768</v>
      </c>
      <c r="F7" s="369">
        <v>24595</v>
      </c>
      <c r="G7" s="369">
        <v>31728</v>
      </c>
      <c r="H7" s="370">
        <v>79091</v>
      </c>
      <c r="I7" s="369">
        <v>20860</v>
      </c>
      <c r="J7" s="369">
        <v>17711</v>
      </c>
      <c r="K7" s="369">
        <v>23526</v>
      </c>
      <c r="L7" s="370">
        <v>62097</v>
      </c>
      <c r="M7" s="369">
        <v>23798</v>
      </c>
      <c r="N7" s="369">
        <v>17333</v>
      </c>
      <c r="O7" s="369">
        <v>23540</v>
      </c>
      <c r="P7" s="370">
        <v>64671</v>
      </c>
      <c r="Q7" s="369">
        <v>20353</v>
      </c>
      <c r="R7" s="369">
        <v>20280</v>
      </c>
      <c r="S7" s="369">
        <v>17399</v>
      </c>
      <c r="T7" s="370">
        <v>58032</v>
      </c>
      <c r="U7" s="369">
        <v>263891</v>
      </c>
    </row>
    <row r="8" spans="2:22" s="333" customFormat="1" ht="16.2" x14ac:dyDescent="0.45">
      <c r="B8" s="295"/>
      <c r="C8" s="296" t="s">
        <v>46</v>
      </c>
      <c r="D8" s="297"/>
      <c r="E8" s="371">
        <v>22752</v>
      </c>
      <c r="F8" s="371">
        <v>24583</v>
      </c>
      <c r="G8" s="371">
        <v>31716</v>
      </c>
      <c r="H8" s="371">
        <v>79051</v>
      </c>
      <c r="I8" s="371">
        <v>20829</v>
      </c>
      <c r="J8" s="371">
        <v>17684</v>
      </c>
      <c r="K8" s="371">
        <v>23517</v>
      </c>
      <c r="L8" s="371">
        <v>62030</v>
      </c>
      <c r="M8" s="371">
        <v>23788</v>
      </c>
      <c r="N8" s="371">
        <v>17325</v>
      </c>
      <c r="O8" s="371">
        <v>23479</v>
      </c>
      <c r="P8" s="371">
        <v>64592</v>
      </c>
      <c r="Q8" s="371">
        <v>19739</v>
      </c>
      <c r="R8" s="371">
        <v>19519</v>
      </c>
      <c r="S8" s="371">
        <v>16512</v>
      </c>
      <c r="T8" s="371">
        <v>55770</v>
      </c>
      <c r="U8" s="371">
        <v>261443</v>
      </c>
    </row>
    <row r="9" spans="2:22" s="333" customFormat="1" ht="16.2" x14ac:dyDescent="0.45">
      <c r="B9" s="300"/>
      <c r="C9" s="301" t="s">
        <v>47</v>
      </c>
      <c r="D9" s="302"/>
      <c r="E9" s="372">
        <v>16</v>
      </c>
      <c r="F9" s="372">
        <v>12</v>
      </c>
      <c r="G9" s="372">
        <v>12</v>
      </c>
      <c r="H9" s="372">
        <v>40</v>
      </c>
      <c r="I9" s="372">
        <v>31</v>
      </c>
      <c r="J9" s="372">
        <v>27</v>
      </c>
      <c r="K9" s="372">
        <v>9</v>
      </c>
      <c r="L9" s="372">
        <v>67</v>
      </c>
      <c r="M9" s="372">
        <v>10</v>
      </c>
      <c r="N9" s="372">
        <v>8</v>
      </c>
      <c r="O9" s="372">
        <v>61</v>
      </c>
      <c r="P9" s="372">
        <v>79</v>
      </c>
      <c r="Q9" s="372">
        <v>614</v>
      </c>
      <c r="R9" s="372">
        <v>761</v>
      </c>
      <c r="S9" s="372">
        <v>887</v>
      </c>
      <c r="T9" s="372">
        <v>2262</v>
      </c>
      <c r="U9" s="372">
        <v>2448</v>
      </c>
    </row>
    <row r="10" spans="2:22" s="333" customFormat="1" ht="16.2" x14ac:dyDescent="0.45">
      <c r="B10" s="305" t="s">
        <v>59</v>
      </c>
      <c r="C10" s="306"/>
      <c r="D10" s="306"/>
      <c r="E10" s="369">
        <v>19258</v>
      </c>
      <c r="F10" s="369">
        <v>23413</v>
      </c>
      <c r="G10" s="369">
        <v>27419</v>
      </c>
      <c r="H10" s="370">
        <v>70090</v>
      </c>
      <c r="I10" s="369">
        <v>24282</v>
      </c>
      <c r="J10" s="369">
        <v>30414</v>
      </c>
      <c r="K10" s="369">
        <v>27066</v>
      </c>
      <c r="L10" s="370">
        <v>81762</v>
      </c>
      <c r="M10" s="369">
        <v>31921</v>
      </c>
      <c r="N10" s="369">
        <v>41662</v>
      </c>
      <c r="O10" s="369">
        <v>35439</v>
      </c>
      <c r="P10" s="370">
        <v>109022</v>
      </c>
      <c r="Q10" s="369">
        <v>37288</v>
      </c>
      <c r="R10" s="369">
        <v>45746</v>
      </c>
      <c r="S10" s="369">
        <v>52598</v>
      </c>
      <c r="T10" s="370">
        <v>135632</v>
      </c>
      <c r="U10" s="369">
        <v>396506</v>
      </c>
    </row>
    <row r="11" spans="2:22" s="333" customFormat="1" ht="16.2" x14ac:dyDescent="0.45">
      <c r="B11" s="295"/>
      <c r="C11" s="296" t="s">
        <v>46</v>
      </c>
      <c r="D11" s="297"/>
      <c r="E11" s="371">
        <v>19258</v>
      </c>
      <c r="F11" s="371">
        <v>23413</v>
      </c>
      <c r="G11" s="371">
        <v>27419</v>
      </c>
      <c r="H11" s="371">
        <v>70090</v>
      </c>
      <c r="I11" s="371">
        <v>24189</v>
      </c>
      <c r="J11" s="371">
        <v>29713</v>
      </c>
      <c r="K11" s="371">
        <v>25971</v>
      </c>
      <c r="L11" s="371">
        <v>79873</v>
      </c>
      <c r="M11" s="371">
        <v>27694</v>
      </c>
      <c r="N11" s="371">
        <v>35193</v>
      </c>
      <c r="O11" s="371">
        <v>30590</v>
      </c>
      <c r="P11" s="371">
        <v>93477</v>
      </c>
      <c r="Q11" s="371">
        <v>31823</v>
      </c>
      <c r="R11" s="371">
        <v>37437</v>
      </c>
      <c r="S11" s="371">
        <v>42693</v>
      </c>
      <c r="T11" s="371">
        <v>111953</v>
      </c>
      <c r="U11" s="371">
        <v>355393</v>
      </c>
    </row>
    <row r="12" spans="2:22" s="333" customFormat="1" ht="16.2" x14ac:dyDescent="0.45">
      <c r="B12" s="295"/>
      <c r="C12" s="301" t="s">
        <v>47</v>
      </c>
      <c r="D12" s="310"/>
      <c r="E12" s="375">
        <v>0</v>
      </c>
      <c r="F12" s="375">
        <v>0</v>
      </c>
      <c r="G12" s="375">
        <v>0</v>
      </c>
      <c r="H12" s="375">
        <v>0</v>
      </c>
      <c r="I12" s="372">
        <v>93</v>
      </c>
      <c r="J12" s="375">
        <v>701</v>
      </c>
      <c r="K12" s="375">
        <v>1095</v>
      </c>
      <c r="L12" s="375">
        <v>1889</v>
      </c>
      <c r="M12" s="375">
        <v>4227</v>
      </c>
      <c r="N12" s="375">
        <v>6469</v>
      </c>
      <c r="O12" s="375">
        <v>4849</v>
      </c>
      <c r="P12" s="375">
        <v>15545</v>
      </c>
      <c r="Q12" s="375">
        <v>5465</v>
      </c>
      <c r="R12" s="375">
        <v>8309</v>
      </c>
      <c r="S12" s="375">
        <v>9905</v>
      </c>
      <c r="T12" s="375">
        <v>23679</v>
      </c>
      <c r="U12" s="375">
        <v>41113</v>
      </c>
    </row>
    <row r="13" spans="2:22" s="333" customFormat="1" ht="16.2" x14ac:dyDescent="0.45">
      <c r="B13" s="291" t="s">
        <v>71</v>
      </c>
      <c r="C13" s="292"/>
      <c r="D13" s="292"/>
      <c r="E13" s="369">
        <v>197</v>
      </c>
      <c r="F13" s="369">
        <v>141</v>
      </c>
      <c r="G13" s="369">
        <v>274</v>
      </c>
      <c r="H13" s="370">
        <v>612</v>
      </c>
      <c r="I13" s="369">
        <v>325</v>
      </c>
      <c r="J13" s="369">
        <v>285</v>
      </c>
      <c r="K13" s="369">
        <v>275</v>
      </c>
      <c r="L13" s="370">
        <v>885</v>
      </c>
      <c r="M13" s="369">
        <v>283</v>
      </c>
      <c r="N13" s="369">
        <v>325</v>
      </c>
      <c r="O13" s="369">
        <v>311</v>
      </c>
      <c r="P13" s="370">
        <v>919</v>
      </c>
      <c r="Q13" s="369">
        <v>370</v>
      </c>
      <c r="R13" s="369">
        <v>299</v>
      </c>
      <c r="S13" s="369">
        <v>418</v>
      </c>
      <c r="T13" s="370">
        <v>1087</v>
      </c>
      <c r="U13" s="369">
        <v>3503</v>
      </c>
    </row>
    <row r="14" spans="2:22" s="333" customFormat="1" ht="16.2" x14ac:dyDescent="0.45">
      <c r="B14" s="313"/>
      <c r="C14" s="296" t="s">
        <v>46</v>
      </c>
      <c r="D14" s="297"/>
      <c r="E14" s="371">
        <v>197</v>
      </c>
      <c r="F14" s="371">
        <v>141</v>
      </c>
      <c r="G14" s="371">
        <v>274</v>
      </c>
      <c r="H14" s="371">
        <v>612</v>
      </c>
      <c r="I14" s="371">
        <v>325</v>
      </c>
      <c r="J14" s="371">
        <v>285</v>
      </c>
      <c r="K14" s="371">
        <v>275</v>
      </c>
      <c r="L14" s="371">
        <v>885</v>
      </c>
      <c r="M14" s="371">
        <v>283</v>
      </c>
      <c r="N14" s="371">
        <v>325</v>
      </c>
      <c r="O14" s="371">
        <v>311</v>
      </c>
      <c r="P14" s="371">
        <v>919</v>
      </c>
      <c r="Q14" s="371">
        <v>370</v>
      </c>
      <c r="R14" s="371">
        <v>299</v>
      </c>
      <c r="S14" s="371">
        <v>418</v>
      </c>
      <c r="T14" s="371">
        <v>1087</v>
      </c>
      <c r="U14" s="371">
        <v>3503</v>
      </c>
    </row>
    <row r="15" spans="2:22" s="333" customFormat="1" ht="16.2" hidden="1" outlineLevel="1" x14ac:dyDescent="0.45">
      <c r="B15" s="314"/>
      <c r="C15" s="301" t="s">
        <v>48</v>
      </c>
      <c r="D15" s="302"/>
      <c r="E15" s="372">
        <v>0</v>
      </c>
      <c r="F15" s="372">
        <v>0</v>
      </c>
      <c r="G15" s="372">
        <v>0</v>
      </c>
      <c r="H15" s="372">
        <v>0</v>
      </c>
      <c r="I15" s="372">
        <v>0</v>
      </c>
      <c r="J15" s="372">
        <v>0</v>
      </c>
      <c r="K15" s="372">
        <v>0</v>
      </c>
      <c r="L15" s="372">
        <v>0</v>
      </c>
      <c r="M15" s="372">
        <v>0</v>
      </c>
      <c r="N15" s="372">
        <v>0</v>
      </c>
      <c r="O15" s="372">
        <v>0</v>
      </c>
      <c r="P15" s="372">
        <v>0</v>
      </c>
      <c r="Q15" s="372">
        <v>0</v>
      </c>
      <c r="R15" s="372">
        <v>0</v>
      </c>
      <c r="S15" s="372">
        <v>0</v>
      </c>
      <c r="T15" s="372">
        <v>0</v>
      </c>
      <c r="U15" s="372">
        <v>0</v>
      </c>
    </row>
    <row r="16" spans="2:22" s="333" customFormat="1" ht="16.2" collapsed="1" x14ac:dyDescent="0.45">
      <c r="B16" s="291" t="s">
        <v>113</v>
      </c>
      <c r="C16" s="292"/>
      <c r="D16" s="292"/>
      <c r="E16" s="369">
        <v>6245</v>
      </c>
      <c r="F16" s="369">
        <v>6060</v>
      </c>
      <c r="G16" s="369">
        <v>13320</v>
      </c>
      <c r="H16" s="370">
        <v>25625</v>
      </c>
      <c r="I16" s="369">
        <v>6224</v>
      </c>
      <c r="J16" s="369">
        <v>5391</v>
      </c>
      <c r="K16" s="369">
        <v>6206</v>
      </c>
      <c r="L16" s="370">
        <v>17821</v>
      </c>
      <c r="M16" s="369">
        <v>6279</v>
      </c>
      <c r="N16" s="369">
        <v>6092</v>
      </c>
      <c r="O16" s="369">
        <v>9522</v>
      </c>
      <c r="P16" s="370">
        <v>21893</v>
      </c>
      <c r="Q16" s="369">
        <v>6247</v>
      </c>
      <c r="R16" s="369">
        <v>5671</v>
      </c>
      <c r="S16" s="369">
        <v>6227</v>
      </c>
      <c r="T16" s="370">
        <v>18145</v>
      </c>
      <c r="U16" s="369">
        <v>83484</v>
      </c>
    </row>
    <row r="17" spans="2:21" s="333" customFormat="1" ht="16.2" x14ac:dyDescent="0.45">
      <c r="B17" s="295"/>
      <c r="C17" s="296" t="s">
        <v>46</v>
      </c>
      <c r="D17" s="297"/>
      <c r="E17" s="371">
        <v>5565</v>
      </c>
      <c r="F17" s="371">
        <v>5594</v>
      </c>
      <c r="G17" s="371">
        <v>10494</v>
      </c>
      <c r="H17" s="371">
        <v>21653</v>
      </c>
      <c r="I17" s="371">
        <v>5023</v>
      </c>
      <c r="J17" s="371">
        <v>4575</v>
      </c>
      <c r="K17" s="371">
        <v>5388</v>
      </c>
      <c r="L17" s="371">
        <v>14986</v>
      </c>
      <c r="M17" s="371">
        <v>5434</v>
      </c>
      <c r="N17" s="371">
        <v>5213</v>
      </c>
      <c r="O17" s="371">
        <v>7711</v>
      </c>
      <c r="P17" s="371">
        <v>18358</v>
      </c>
      <c r="Q17" s="371">
        <v>5530</v>
      </c>
      <c r="R17" s="371">
        <v>5091</v>
      </c>
      <c r="S17" s="371">
        <v>6004</v>
      </c>
      <c r="T17" s="371">
        <v>16625</v>
      </c>
      <c r="U17" s="371">
        <v>71622</v>
      </c>
    </row>
    <row r="18" spans="2:21" s="570" customFormat="1" ht="16.2" x14ac:dyDescent="0.45">
      <c r="B18" s="565"/>
      <c r="C18" s="566" t="s">
        <v>49</v>
      </c>
      <c r="D18" s="567"/>
      <c r="E18" s="568">
        <v>285</v>
      </c>
      <c r="F18" s="568">
        <v>203</v>
      </c>
      <c r="G18" s="568">
        <v>436</v>
      </c>
      <c r="H18" s="568">
        <v>924</v>
      </c>
      <c r="I18" s="569">
        <v>172</v>
      </c>
      <c r="J18" s="568">
        <v>233</v>
      </c>
      <c r="K18" s="568">
        <v>219</v>
      </c>
      <c r="L18" s="568">
        <v>624</v>
      </c>
      <c r="M18" s="568">
        <v>279</v>
      </c>
      <c r="N18" s="568">
        <v>193</v>
      </c>
      <c r="O18" s="568">
        <v>328</v>
      </c>
      <c r="P18" s="568">
        <v>800</v>
      </c>
      <c r="Q18" s="568">
        <v>148</v>
      </c>
      <c r="R18" s="568">
        <v>85</v>
      </c>
      <c r="S18" s="568">
        <v>62</v>
      </c>
      <c r="T18" s="568">
        <v>295</v>
      </c>
      <c r="U18" s="568">
        <v>2643</v>
      </c>
    </row>
    <row r="19" spans="2:21" s="333" customFormat="1" ht="16.2" x14ac:dyDescent="0.45">
      <c r="B19" s="295"/>
      <c r="C19" s="301" t="s">
        <v>48</v>
      </c>
      <c r="D19" s="310"/>
      <c r="E19" s="375">
        <v>395</v>
      </c>
      <c r="F19" s="375">
        <v>263</v>
      </c>
      <c r="G19" s="375">
        <v>2390</v>
      </c>
      <c r="H19" s="375">
        <v>3048</v>
      </c>
      <c r="I19" s="372">
        <v>1029</v>
      </c>
      <c r="J19" s="375">
        <v>583</v>
      </c>
      <c r="K19" s="375">
        <v>599</v>
      </c>
      <c r="L19" s="375">
        <v>2211</v>
      </c>
      <c r="M19" s="375">
        <v>566</v>
      </c>
      <c r="N19" s="375">
        <v>686</v>
      </c>
      <c r="O19" s="375">
        <v>1483</v>
      </c>
      <c r="P19" s="375">
        <v>2735</v>
      </c>
      <c r="Q19" s="375">
        <v>569</v>
      </c>
      <c r="R19" s="375">
        <v>495</v>
      </c>
      <c r="S19" s="375">
        <v>161</v>
      </c>
      <c r="T19" s="375">
        <v>1225</v>
      </c>
      <c r="U19" s="375">
        <v>9219</v>
      </c>
    </row>
    <row r="20" spans="2:21" s="333" customFormat="1" ht="16.2" x14ac:dyDescent="0.45">
      <c r="B20" s="291" t="s">
        <v>143</v>
      </c>
      <c r="C20" s="315"/>
      <c r="D20" s="315"/>
      <c r="E20" s="369">
        <v>119</v>
      </c>
      <c r="F20" s="369">
        <v>341</v>
      </c>
      <c r="G20" s="369">
        <v>201</v>
      </c>
      <c r="H20" s="370">
        <v>661</v>
      </c>
      <c r="I20" s="369">
        <v>106</v>
      </c>
      <c r="J20" s="369">
        <v>145</v>
      </c>
      <c r="K20" s="369">
        <v>131</v>
      </c>
      <c r="L20" s="370">
        <v>382</v>
      </c>
      <c r="M20" s="369">
        <v>189</v>
      </c>
      <c r="N20" s="369">
        <v>128</v>
      </c>
      <c r="O20" s="369">
        <v>178</v>
      </c>
      <c r="P20" s="370">
        <v>495</v>
      </c>
      <c r="Q20" s="369">
        <v>137</v>
      </c>
      <c r="R20" s="369">
        <v>130</v>
      </c>
      <c r="S20" s="369">
        <v>348</v>
      </c>
      <c r="T20" s="370">
        <v>615</v>
      </c>
      <c r="U20" s="376">
        <v>2153</v>
      </c>
    </row>
    <row r="21" spans="2:21" s="333" customFormat="1" ht="16.2" x14ac:dyDescent="0.45">
      <c r="B21" s="377"/>
      <c r="C21" s="296" t="s">
        <v>46</v>
      </c>
      <c r="D21" s="297"/>
      <c r="E21" s="371">
        <v>119</v>
      </c>
      <c r="F21" s="371">
        <v>341</v>
      </c>
      <c r="G21" s="371">
        <v>201</v>
      </c>
      <c r="H21" s="371">
        <v>661</v>
      </c>
      <c r="I21" s="371">
        <v>106</v>
      </c>
      <c r="J21" s="371">
        <v>145</v>
      </c>
      <c r="K21" s="371">
        <v>131</v>
      </c>
      <c r="L21" s="371">
        <v>382</v>
      </c>
      <c r="M21" s="371">
        <v>189</v>
      </c>
      <c r="N21" s="371">
        <v>128</v>
      </c>
      <c r="O21" s="371">
        <v>178</v>
      </c>
      <c r="P21" s="371">
        <v>495</v>
      </c>
      <c r="Q21" s="371">
        <v>137</v>
      </c>
      <c r="R21" s="371">
        <v>130</v>
      </c>
      <c r="S21" s="371">
        <v>348</v>
      </c>
      <c r="T21" s="371">
        <v>615</v>
      </c>
      <c r="U21" s="371">
        <v>2153</v>
      </c>
    </row>
    <row r="22" spans="2:21" s="333" customFormat="1" ht="16.2" hidden="1" outlineLevel="1" x14ac:dyDescent="0.45">
      <c r="B22" s="305"/>
      <c r="C22" s="301" t="s">
        <v>48</v>
      </c>
      <c r="D22" s="310"/>
      <c r="E22" s="375">
        <v>0</v>
      </c>
      <c r="F22" s="375">
        <v>0</v>
      </c>
      <c r="G22" s="375">
        <v>0</v>
      </c>
      <c r="H22" s="375">
        <v>0</v>
      </c>
      <c r="I22" s="375">
        <v>0</v>
      </c>
      <c r="J22" s="375">
        <v>0</v>
      </c>
      <c r="K22" s="375">
        <v>0</v>
      </c>
      <c r="L22" s="375">
        <v>0</v>
      </c>
      <c r="M22" s="375">
        <v>0</v>
      </c>
      <c r="N22" s="375">
        <v>0</v>
      </c>
      <c r="O22" s="375">
        <v>0</v>
      </c>
      <c r="P22" s="375">
        <v>0</v>
      </c>
      <c r="Q22" s="375">
        <v>0</v>
      </c>
      <c r="R22" s="375">
        <v>0</v>
      </c>
      <c r="S22" s="375">
        <v>0</v>
      </c>
      <c r="T22" s="375">
        <v>0</v>
      </c>
      <c r="U22" s="375">
        <v>0</v>
      </c>
    </row>
    <row r="23" spans="2:21" s="333" customFormat="1" ht="16.2" collapsed="1" x14ac:dyDescent="0.45">
      <c r="B23" s="291" t="s">
        <v>117</v>
      </c>
      <c r="C23" s="292"/>
      <c r="D23" s="292"/>
      <c r="E23" s="369">
        <v>8193</v>
      </c>
      <c r="F23" s="369">
        <v>7908</v>
      </c>
      <c r="G23" s="369">
        <v>8063</v>
      </c>
      <c r="H23" s="370">
        <v>24164</v>
      </c>
      <c r="I23" s="369">
        <v>5624</v>
      </c>
      <c r="J23" s="369">
        <v>6867</v>
      </c>
      <c r="K23" s="369">
        <v>7024</v>
      </c>
      <c r="L23" s="370">
        <v>19515</v>
      </c>
      <c r="M23" s="369">
        <v>6506</v>
      </c>
      <c r="N23" s="369">
        <v>5606</v>
      </c>
      <c r="O23" s="369">
        <v>5105</v>
      </c>
      <c r="P23" s="370">
        <v>17217</v>
      </c>
      <c r="Q23" s="369">
        <v>4486</v>
      </c>
      <c r="R23" s="369">
        <v>5120</v>
      </c>
      <c r="S23" s="369">
        <v>9699</v>
      </c>
      <c r="T23" s="370">
        <v>19305</v>
      </c>
      <c r="U23" s="369">
        <v>80201</v>
      </c>
    </row>
    <row r="24" spans="2:21" s="333" customFormat="1" ht="16.2" x14ac:dyDescent="0.45">
      <c r="B24" s="295"/>
      <c r="C24" s="296" t="s">
        <v>46</v>
      </c>
      <c r="D24" s="297"/>
      <c r="E24" s="371">
        <v>8193</v>
      </c>
      <c r="F24" s="371">
        <v>7904</v>
      </c>
      <c r="G24" s="371">
        <v>8034</v>
      </c>
      <c r="H24" s="371">
        <v>24131</v>
      </c>
      <c r="I24" s="371">
        <v>5594</v>
      </c>
      <c r="J24" s="371">
        <v>6860</v>
      </c>
      <c r="K24" s="371">
        <v>7022</v>
      </c>
      <c r="L24" s="371">
        <v>19476</v>
      </c>
      <c r="M24" s="371">
        <v>6502</v>
      </c>
      <c r="N24" s="371">
        <v>5605</v>
      </c>
      <c r="O24" s="371">
        <v>5103</v>
      </c>
      <c r="P24" s="371">
        <v>17210</v>
      </c>
      <c r="Q24" s="371">
        <v>4481</v>
      </c>
      <c r="R24" s="371">
        <v>5052</v>
      </c>
      <c r="S24" s="371">
        <v>9546</v>
      </c>
      <c r="T24" s="371">
        <v>19079</v>
      </c>
      <c r="U24" s="371">
        <v>79896</v>
      </c>
    </row>
    <row r="25" spans="2:21" s="333" customFormat="1" ht="16.2" x14ac:dyDescent="0.45">
      <c r="B25" s="295"/>
      <c r="C25" s="309" t="s">
        <v>48</v>
      </c>
      <c r="D25" s="310"/>
      <c r="E25" s="375">
        <v>0</v>
      </c>
      <c r="F25" s="375">
        <v>4</v>
      </c>
      <c r="G25" s="375">
        <v>29</v>
      </c>
      <c r="H25" s="375">
        <v>33</v>
      </c>
      <c r="I25" s="375">
        <v>30</v>
      </c>
      <c r="J25" s="375">
        <v>7</v>
      </c>
      <c r="K25" s="375">
        <v>2</v>
      </c>
      <c r="L25" s="375">
        <v>39</v>
      </c>
      <c r="M25" s="375">
        <v>4</v>
      </c>
      <c r="N25" s="375">
        <v>1</v>
      </c>
      <c r="O25" s="375">
        <v>2</v>
      </c>
      <c r="P25" s="375">
        <v>7</v>
      </c>
      <c r="Q25" s="375">
        <v>5</v>
      </c>
      <c r="R25" s="375">
        <v>68</v>
      </c>
      <c r="S25" s="375">
        <v>153</v>
      </c>
      <c r="T25" s="375">
        <v>226</v>
      </c>
      <c r="U25" s="375">
        <v>305</v>
      </c>
    </row>
    <row r="26" spans="2:21" s="333" customFormat="1" ht="16.2" x14ac:dyDescent="0.45">
      <c r="B26" s="291" t="s">
        <v>91</v>
      </c>
      <c r="C26" s="292"/>
      <c r="D26" s="292"/>
      <c r="E26" s="369">
        <v>12642</v>
      </c>
      <c r="F26" s="369">
        <v>5140</v>
      </c>
      <c r="G26" s="369">
        <v>9767</v>
      </c>
      <c r="H26" s="370">
        <v>27549</v>
      </c>
      <c r="I26" s="369">
        <v>10885</v>
      </c>
      <c r="J26" s="369">
        <v>9909</v>
      </c>
      <c r="K26" s="369">
        <v>11023</v>
      </c>
      <c r="L26" s="370">
        <v>31817</v>
      </c>
      <c r="M26" s="369">
        <v>9945</v>
      </c>
      <c r="N26" s="369">
        <v>9398</v>
      </c>
      <c r="O26" s="369">
        <v>9281</v>
      </c>
      <c r="P26" s="370">
        <v>28624</v>
      </c>
      <c r="Q26" s="369">
        <v>10215</v>
      </c>
      <c r="R26" s="369">
        <v>10018</v>
      </c>
      <c r="S26" s="369">
        <v>13094</v>
      </c>
      <c r="T26" s="370">
        <v>33327</v>
      </c>
      <c r="U26" s="369">
        <v>121317</v>
      </c>
    </row>
    <row r="27" spans="2:21" s="333" customFormat="1" ht="16.2" x14ac:dyDescent="0.45">
      <c r="B27" s="295"/>
      <c r="C27" s="296" t="s">
        <v>46</v>
      </c>
      <c r="D27" s="378"/>
      <c r="E27" s="371">
        <v>9215</v>
      </c>
      <c r="F27" s="371">
        <v>3827</v>
      </c>
      <c r="G27" s="371">
        <v>7498</v>
      </c>
      <c r="H27" s="371">
        <v>20540</v>
      </c>
      <c r="I27" s="371">
        <v>8928</v>
      </c>
      <c r="J27" s="371">
        <v>8235</v>
      </c>
      <c r="K27" s="371">
        <v>8776</v>
      </c>
      <c r="L27" s="371">
        <v>25939</v>
      </c>
      <c r="M27" s="371">
        <v>6913</v>
      </c>
      <c r="N27" s="371">
        <v>7424</v>
      </c>
      <c r="O27" s="371">
        <v>7226</v>
      </c>
      <c r="P27" s="371">
        <v>21563</v>
      </c>
      <c r="Q27" s="371">
        <v>8262</v>
      </c>
      <c r="R27" s="371">
        <v>8203</v>
      </c>
      <c r="S27" s="371">
        <v>9748</v>
      </c>
      <c r="T27" s="371">
        <v>26213</v>
      </c>
      <c r="U27" s="371">
        <v>94255</v>
      </c>
    </row>
    <row r="28" spans="2:21" s="333" customFormat="1" ht="16.2" x14ac:dyDescent="0.45">
      <c r="B28" s="295"/>
      <c r="C28" s="379" t="s">
        <v>49</v>
      </c>
      <c r="D28" s="380"/>
      <c r="E28" s="381">
        <v>1815</v>
      </c>
      <c r="F28" s="381">
        <v>773</v>
      </c>
      <c r="G28" s="381">
        <v>1180</v>
      </c>
      <c r="H28" s="374">
        <v>3768</v>
      </c>
      <c r="I28" s="381">
        <v>1231</v>
      </c>
      <c r="J28" s="381">
        <v>1183</v>
      </c>
      <c r="K28" s="381">
        <v>1336</v>
      </c>
      <c r="L28" s="381">
        <v>3750</v>
      </c>
      <c r="M28" s="381">
        <v>1272</v>
      </c>
      <c r="N28" s="381">
        <v>1346</v>
      </c>
      <c r="O28" s="381">
        <v>1221</v>
      </c>
      <c r="P28" s="381">
        <v>3839</v>
      </c>
      <c r="Q28" s="381">
        <v>1255</v>
      </c>
      <c r="R28" s="381">
        <v>1194</v>
      </c>
      <c r="S28" s="381">
        <v>1806</v>
      </c>
      <c r="T28" s="381">
        <v>4255</v>
      </c>
      <c r="U28" s="381">
        <v>15612</v>
      </c>
    </row>
    <row r="29" spans="2:21" s="333" customFormat="1" ht="16.2" x14ac:dyDescent="0.45">
      <c r="B29" s="295"/>
      <c r="C29" s="309" t="s">
        <v>48</v>
      </c>
      <c r="D29" s="382"/>
      <c r="E29" s="383">
        <v>1612</v>
      </c>
      <c r="F29" s="383">
        <v>540</v>
      </c>
      <c r="G29" s="383">
        <v>1089</v>
      </c>
      <c r="H29" s="375">
        <v>3241</v>
      </c>
      <c r="I29" s="383">
        <v>726</v>
      </c>
      <c r="J29" s="383">
        <v>491</v>
      </c>
      <c r="K29" s="383">
        <v>911</v>
      </c>
      <c r="L29" s="383">
        <v>2128</v>
      </c>
      <c r="M29" s="383">
        <v>1760</v>
      </c>
      <c r="N29" s="383">
        <v>628</v>
      </c>
      <c r="O29" s="383">
        <v>834</v>
      </c>
      <c r="P29" s="383">
        <v>3222</v>
      </c>
      <c r="Q29" s="383">
        <v>698</v>
      </c>
      <c r="R29" s="383">
        <v>621</v>
      </c>
      <c r="S29" s="383">
        <v>1540</v>
      </c>
      <c r="T29" s="383">
        <v>2859</v>
      </c>
      <c r="U29" s="383">
        <v>11450</v>
      </c>
    </row>
    <row r="30" spans="2:21" s="333" customFormat="1" ht="6" customHeight="1" thickBot="1" x14ac:dyDescent="0.5">
      <c r="B30" s="328"/>
      <c r="C30" s="329"/>
      <c r="D30" s="329"/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</row>
    <row r="31" spans="2:21" s="357" customFormat="1" ht="16.8" thickBot="1" x14ac:dyDescent="0.5">
      <c r="B31" s="385" t="s">
        <v>173</v>
      </c>
      <c r="C31" s="512"/>
      <c r="D31" s="512"/>
      <c r="E31" s="516">
        <v>69422</v>
      </c>
      <c r="F31" s="516">
        <v>67598</v>
      </c>
      <c r="G31" s="516">
        <v>90772</v>
      </c>
      <c r="H31" s="516">
        <v>227792</v>
      </c>
      <c r="I31" s="516">
        <v>68306</v>
      </c>
      <c r="J31" s="516">
        <v>70722</v>
      </c>
      <c r="K31" s="516">
        <v>75251</v>
      </c>
      <c r="L31" s="516">
        <v>214279</v>
      </c>
      <c r="M31" s="516">
        <v>78921</v>
      </c>
      <c r="N31" s="516">
        <v>80544</v>
      </c>
      <c r="O31" s="516">
        <v>83376</v>
      </c>
      <c r="P31" s="516">
        <v>242841</v>
      </c>
      <c r="Q31" s="516">
        <v>79096</v>
      </c>
      <c r="R31" s="516">
        <v>87264</v>
      </c>
      <c r="S31" s="516">
        <v>99783</v>
      </c>
      <c r="T31" s="516">
        <v>266143</v>
      </c>
      <c r="U31" s="517">
        <v>951055</v>
      </c>
    </row>
    <row r="32" spans="2:21" s="333" customFormat="1" ht="16.2" x14ac:dyDescent="0.45">
      <c r="B32" s="386"/>
      <c r="C32" s="387" t="s">
        <v>46</v>
      </c>
      <c r="D32" s="378"/>
      <c r="E32" s="388">
        <v>65299</v>
      </c>
      <c r="F32" s="388">
        <v>65803</v>
      </c>
      <c r="G32" s="388">
        <v>85636</v>
      </c>
      <c r="H32" s="389">
        <v>216738</v>
      </c>
      <c r="I32" s="388">
        <v>64994</v>
      </c>
      <c r="J32" s="388">
        <v>67497</v>
      </c>
      <c r="K32" s="388">
        <v>71080</v>
      </c>
      <c r="L32" s="389">
        <v>203571</v>
      </c>
      <c r="M32" s="388">
        <v>70803</v>
      </c>
      <c r="N32" s="388">
        <v>71213</v>
      </c>
      <c r="O32" s="388">
        <v>74598</v>
      </c>
      <c r="P32" s="389">
        <v>216614</v>
      </c>
      <c r="Q32" s="388">
        <v>70342</v>
      </c>
      <c r="R32" s="388">
        <v>75731</v>
      </c>
      <c r="S32" s="388">
        <v>85269</v>
      </c>
      <c r="T32" s="389">
        <v>231342</v>
      </c>
      <c r="U32" s="390">
        <v>868265</v>
      </c>
    </row>
    <row r="33" spans="2:21" s="333" customFormat="1" ht="16.2" x14ac:dyDescent="0.45">
      <c r="B33" s="386"/>
      <c r="C33" s="391" t="s">
        <v>49</v>
      </c>
      <c r="D33" s="380"/>
      <c r="E33" s="375">
        <v>2100</v>
      </c>
      <c r="F33" s="375">
        <v>976</v>
      </c>
      <c r="G33" s="375">
        <v>1616</v>
      </c>
      <c r="H33" s="392">
        <v>4692</v>
      </c>
      <c r="I33" s="375">
        <v>1403</v>
      </c>
      <c r="J33" s="375">
        <v>1416</v>
      </c>
      <c r="K33" s="375">
        <v>1555</v>
      </c>
      <c r="L33" s="392">
        <v>4374</v>
      </c>
      <c r="M33" s="375">
        <v>1551</v>
      </c>
      <c r="N33" s="375">
        <v>1539</v>
      </c>
      <c r="O33" s="375">
        <v>1549</v>
      </c>
      <c r="P33" s="392">
        <v>4639</v>
      </c>
      <c r="Q33" s="375">
        <v>1403</v>
      </c>
      <c r="R33" s="375">
        <v>1279</v>
      </c>
      <c r="S33" s="375">
        <v>1868</v>
      </c>
      <c r="T33" s="392">
        <v>4550</v>
      </c>
      <c r="U33" s="393">
        <v>18255</v>
      </c>
    </row>
    <row r="34" spans="2:21" s="333" customFormat="1" ht="16.8" thickBot="1" x14ac:dyDescent="0.5">
      <c r="B34" s="394"/>
      <c r="C34" s="395" t="s">
        <v>47</v>
      </c>
      <c r="D34" s="396"/>
      <c r="E34" s="397">
        <v>2023</v>
      </c>
      <c r="F34" s="397">
        <v>819</v>
      </c>
      <c r="G34" s="397">
        <v>3520</v>
      </c>
      <c r="H34" s="398">
        <v>6362</v>
      </c>
      <c r="I34" s="397">
        <v>1909</v>
      </c>
      <c r="J34" s="397">
        <v>1809</v>
      </c>
      <c r="K34" s="397">
        <v>2616</v>
      </c>
      <c r="L34" s="398">
        <v>6334</v>
      </c>
      <c r="M34" s="397">
        <v>6567</v>
      </c>
      <c r="N34" s="397">
        <v>7792</v>
      </c>
      <c r="O34" s="397">
        <v>7229</v>
      </c>
      <c r="P34" s="398">
        <v>21588</v>
      </c>
      <c r="Q34" s="397">
        <v>7351</v>
      </c>
      <c r="R34" s="397">
        <v>10254</v>
      </c>
      <c r="S34" s="397">
        <v>12646</v>
      </c>
      <c r="T34" s="398">
        <v>30251</v>
      </c>
      <c r="U34" s="399">
        <v>64535</v>
      </c>
    </row>
    <row r="35" spans="2:21" x14ac:dyDescent="0.45">
      <c r="B35" s="201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</row>
    <row r="36" spans="2:21" x14ac:dyDescent="0.45">
      <c r="B36" s="198"/>
      <c r="C36" s="199"/>
      <c r="D36" s="199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</row>
    <row r="37" spans="2:21" ht="16.2" x14ac:dyDescent="0.45">
      <c r="B37" s="597">
        <f>E38</f>
        <v>2025</v>
      </c>
      <c r="C37" s="597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6"/>
    </row>
    <row r="38" spans="2:21" ht="16.05" customHeight="1" x14ac:dyDescent="0.45">
      <c r="B38" s="191"/>
      <c r="C38" s="192"/>
      <c r="D38" s="192"/>
      <c r="E38" s="611">
        <v>2025</v>
      </c>
      <c r="F38" s="612"/>
      <c r="G38" s="612"/>
      <c r="H38" s="612"/>
      <c r="I38" s="612"/>
      <c r="J38" s="612"/>
      <c r="K38" s="612"/>
      <c r="L38" s="612"/>
      <c r="M38" s="612"/>
      <c r="N38" s="612"/>
      <c r="O38" s="612"/>
      <c r="P38" s="612"/>
      <c r="Q38" s="612"/>
      <c r="R38" s="612"/>
      <c r="S38" s="612"/>
      <c r="T38" s="612"/>
      <c r="U38" s="613"/>
    </row>
    <row r="39" spans="2:21" ht="16.05" customHeight="1" x14ac:dyDescent="0.45">
      <c r="B39" s="193"/>
      <c r="C39" s="194"/>
      <c r="D39" s="194"/>
      <c r="E39" s="257"/>
      <c r="F39" s="258"/>
      <c r="G39" s="258"/>
      <c r="H39" s="614" t="s">
        <v>169</v>
      </c>
      <c r="I39" s="258"/>
      <c r="J39" s="258"/>
      <c r="K39" s="258"/>
      <c r="L39" s="614" t="s">
        <v>170</v>
      </c>
      <c r="M39" s="258"/>
      <c r="N39" s="258"/>
      <c r="O39" s="258"/>
      <c r="P39" s="614" t="s">
        <v>171</v>
      </c>
      <c r="Q39" s="258"/>
      <c r="R39" s="258"/>
      <c r="S39" s="258"/>
      <c r="T39" s="614" t="s">
        <v>172</v>
      </c>
      <c r="U39" s="215">
        <f>E38</f>
        <v>2025</v>
      </c>
    </row>
    <row r="40" spans="2:21" ht="16.05" customHeight="1" x14ac:dyDescent="0.45">
      <c r="B40" s="195"/>
      <c r="C40" s="196"/>
      <c r="D40" s="196"/>
      <c r="E40" s="259" t="str">
        <f>E6</f>
        <v>1月/Jan.</v>
      </c>
      <c r="F40" s="259" t="str">
        <f t="shared" ref="F40:G40" si="0">F6</f>
        <v>2月/Feb.</v>
      </c>
      <c r="G40" s="259" t="str">
        <f t="shared" si="0"/>
        <v>3月/Mar.</v>
      </c>
      <c r="H40" s="615"/>
      <c r="I40" s="259" t="str">
        <f t="shared" ref="I40:K40" si="1">I6</f>
        <v>4月/Apr.</v>
      </c>
      <c r="J40" s="259" t="str">
        <f t="shared" si="1"/>
        <v>5月/May</v>
      </c>
      <c r="K40" s="259" t="str">
        <f t="shared" si="1"/>
        <v>6月/Jun.</v>
      </c>
      <c r="L40" s="615"/>
      <c r="M40" s="259" t="str">
        <f t="shared" ref="M40:O40" si="2">M6</f>
        <v>7月/Jul.</v>
      </c>
      <c r="N40" s="259" t="str">
        <f t="shared" si="2"/>
        <v>8月/Aug.</v>
      </c>
      <c r="O40" s="259" t="str">
        <f t="shared" si="2"/>
        <v>9月/Sep.</v>
      </c>
      <c r="P40" s="615"/>
      <c r="Q40" s="259" t="str">
        <f t="shared" ref="Q40:S40" si="3">Q6</f>
        <v>10月/Oct.</v>
      </c>
      <c r="R40" s="259" t="str">
        <f t="shared" si="3"/>
        <v>11月/Nov.</v>
      </c>
      <c r="S40" s="259" t="str">
        <f t="shared" si="3"/>
        <v>12月/Dec.</v>
      </c>
      <c r="T40" s="615"/>
      <c r="U40" s="260" t="s">
        <v>39</v>
      </c>
    </row>
    <row r="41" spans="2:21" s="333" customFormat="1" ht="16.2" x14ac:dyDescent="0.45">
      <c r="B41" s="291" t="s">
        <v>55</v>
      </c>
      <c r="C41" s="292"/>
      <c r="D41" s="292"/>
      <c r="E41" s="369">
        <v>19763</v>
      </c>
      <c r="F41" s="369">
        <v>22465</v>
      </c>
      <c r="G41" s="369">
        <v>29898</v>
      </c>
      <c r="H41" s="370">
        <v>72126</v>
      </c>
      <c r="I41" s="369">
        <v>16860</v>
      </c>
      <c r="J41" s="369">
        <v>15838</v>
      </c>
      <c r="K41" s="369">
        <v>19005</v>
      </c>
      <c r="L41" s="370">
        <v>51703</v>
      </c>
      <c r="M41" s="369">
        <v>20603</v>
      </c>
      <c r="N41" s="369">
        <v>15971</v>
      </c>
      <c r="O41" s="369">
        <v>26160</v>
      </c>
      <c r="P41" s="370">
        <v>62734</v>
      </c>
      <c r="Q41" s="369">
        <v>22366</v>
      </c>
      <c r="R41" s="369"/>
      <c r="S41" s="369"/>
      <c r="T41" s="370">
        <v>22366</v>
      </c>
      <c r="U41" s="369">
        <v>208929</v>
      </c>
    </row>
    <row r="42" spans="2:21" s="333" customFormat="1" ht="16.2" x14ac:dyDescent="0.45">
      <c r="B42" s="295"/>
      <c r="C42" s="296" t="s">
        <v>46</v>
      </c>
      <c r="D42" s="297"/>
      <c r="E42" s="371">
        <v>18941</v>
      </c>
      <c r="F42" s="371">
        <v>21828</v>
      </c>
      <c r="G42" s="371">
        <v>29157</v>
      </c>
      <c r="H42" s="371">
        <v>69926</v>
      </c>
      <c r="I42" s="371">
        <v>16267</v>
      </c>
      <c r="J42" s="371">
        <v>15448</v>
      </c>
      <c r="K42" s="371">
        <v>18516</v>
      </c>
      <c r="L42" s="371">
        <v>50231</v>
      </c>
      <c r="M42" s="371">
        <v>20073</v>
      </c>
      <c r="N42" s="371">
        <v>15613</v>
      </c>
      <c r="O42" s="371">
        <v>23104</v>
      </c>
      <c r="P42" s="371">
        <v>58790</v>
      </c>
      <c r="Q42" s="371">
        <v>20739</v>
      </c>
      <c r="R42" s="371"/>
      <c r="S42" s="371"/>
      <c r="T42" s="371">
        <v>20739</v>
      </c>
      <c r="U42" s="371">
        <v>199686</v>
      </c>
    </row>
    <row r="43" spans="2:21" s="333" customFormat="1" ht="16.2" x14ac:dyDescent="0.45">
      <c r="B43" s="300"/>
      <c r="C43" s="301" t="s">
        <v>47</v>
      </c>
      <c r="D43" s="302"/>
      <c r="E43" s="372">
        <v>822</v>
      </c>
      <c r="F43" s="372">
        <v>637</v>
      </c>
      <c r="G43" s="372">
        <v>741</v>
      </c>
      <c r="H43" s="372">
        <v>2200</v>
      </c>
      <c r="I43" s="372">
        <v>593</v>
      </c>
      <c r="J43" s="372">
        <v>390</v>
      </c>
      <c r="K43" s="372">
        <v>489</v>
      </c>
      <c r="L43" s="372">
        <v>1472</v>
      </c>
      <c r="M43" s="372">
        <v>530</v>
      </c>
      <c r="N43" s="372">
        <v>358</v>
      </c>
      <c r="O43" s="372">
        <v>3056</v>
      </c>
      <c r="P43" s="372">
        <v>3944</v>
      </c>
      <c r="Q43" s="372">
        <v>1627</v>
      </c>
      <c r="R43" s="372"/>
      <c r="S43" s="372"/>
      <c r="T43" s="372">
        <v>1627</v>
      </c>
      <c r="U43" s="372">
        <v>9243</v>
      </c>
    </row>
    <row r="44" spans="2:21" s="333" customFormat="1" ht="16.2" x14ac:dyDescent="0.45">
      <c r="B44" s="305" t="s">
        <v>58</v>
      </c>
      <c r="C44" s="306"/>
      <c r="D44" s="306"/>
      <c r="E44" s="369">
        <v>35806</v>
      </c>
      <c r="F44" s="369">
        <v>37687</v>
      </c>
      <c r="G44" s="369">
        <v>52122</v>
      </c>
      <c r="H44" s="370">
        <v>125615</v>
      </c>
      <c r="I44" s="369">
        <v>48031</v>
      </c>
      <c r="J44" s="369">
        <v>46222</v>
      </c>
      <c r="K44" s="369">
        <v>38975</v>
      </c>
      <c r="L44" s="370">
        <v>133228</v>
      </c>
      <c r="M44" s="369">
        <v>44166</v>
      </c>
      <c r="N44" s="369">
        <v>50456</v>
      </c>
      <c r="O44" s="369">
        <v>38526</v>
      </c>
      <c r="P44" s="370">
        <v>133148</v>
      </c>
      <c r="Q44" s="369">
        <v>36405</v>
      </c>
      <c r="R44" s="369"/>
      <c r="S44" s="369"/>
      <c r="T44" s="370">
        <v>36405</v>
      </c>
      <c r="U44" s="574">
        <v>428396</v>
      </c>
    </row>
    <row r="45" spans="2:21" s="333" customFormat="1" ht="16.2" x14ac:dyDescent="0.45">
      <c r="B45" s="295"/>
      <c r="C45" s="296" t="s">
        <v>177</v>
      </c>
      <c r="D45" s="297"/>
      <c r="E45" s="371">
        <v>30483</v>
      </c>
      <c r="F45" s="371">
        <v>33147</v>
      </c>
      <c r="G45" s="371">
        <v>47190</v>
      </c>
      <c r="H45" s="371">
        <v>110820</v>
      </c>
      <c r="I45" s="371">
        <v>43740</v>
      </c>
      <c r="J45" s="371">
        <v>42172</v>
      </c>
      <c r="K45" s="371">
        <v>34729</v>
      </c>
      <c r="L45" s="371">
        <v>120641</v>
      </c>
      <c r="M45" s="371">
        <v>37103</v>
      </c>
      <c r="N45" s="371">
        <v>40466</v>
      </c>
      <c r="O45" s="371">
        <v>33387</v>
      </c>
      <c r="P45" s="371">
        <v>110956</v>
      </c>
      <c r="Q45" s="371">
        <v>35350</v>
      </c>
      <c r="R45" s="371"/>
      <c r="S45" s="371"/>
      <c r="T45" s="371">
        <v>35350</v>
      </c>
      <c r="U45" s="371">
        <v>377767</v>
      </c>
    </row>
    <row r="46" spans="2:21" s="333" customFormat="1" ht="16.2" x14ac:dyDescent="0.45">
      <c r="B46" s="295"/>
      <c r="C46" s="301" t="s">
        <v>47</v>
      </c>
      <c r="D46" s="310"/>
      <c r="E46" s="375">
        <v>5323</v>
      </c>
      <c r="F46" s="375">
        <v>4540</v>
      </c>
      <c r="G46" s="375">
        <v>4932</v>
      </c>
      <c r="H46" s="375">
        <v>14795</v>
      </c>
      <c r="I46" s="375">
        <v>4291</v>
      </c>
      <c r="J46" s="375">
        <v>4050</v>
      </c>
      <c r="K46" s="375">
        <v>4246</v>
      </c>
      <c r="L46" s="375">
        <v>12587</v>
      </c>
      <c r="M46" s="375">
        <v>7063</v>
      </c>
      <c r="N46" s="375">
        <v>9990</v>
      </c>
      <c r="O46" s="375">
        <v>5139</v>
      </c>
      <c r="P46" s="375">
        <v>22192</v>
      </c>
      <c r="Q46" s="375">
        <v>1055</v>
      </c>
      <c r="R46" s="375"/>
      <c r="S46" s="375"/>
      <c r="T46" s="375">
        <v>1055</v>
      </c>
      <c r="U46" s="375">
        <v>50629</v>
      </c>
    </row>
    <row r="47" spans="2:21" s="333" customFormat="1" ht="16.2" x14ac:dyDescent="0.45">
      <c r="B47" s="291" t="s">
        <v>70</v>
      </c>
      <c r="C47" s="292"/>
      <c r="D47" s="292"/>
      <c r="E47" s="369">
        <v>465</v>
      </c>
      <c r="F47" s="369">
        <v>534</v>
      </c>
      <c r="G47" s="369">
        <v>406</v>
      </c>
      <c r="H47" s="370">
        <v>1405</v>
      </c>
      <c r="I47" s="369">
        <v>244</v>
      </c>
      <c r="J47" s="369">
        <v>190</v>
      </c>
      <c r="K47" s="369">
        <v>191</v>
      </c>
      <c r="L47" s="370">
        <v>625</v>
      </c>
      <c r="M47" s="369">
        <v>178</v>
      </c>
      <c r="N47" s="369">
        <v>197</v>
      </c>
      <c r="O47" s="369">
        <v>229</v>
      </c>
      <c r="P47" s="370">
        <v>604</v>
      </c>
      <c r="Q47" s="369">
        <v>193</v>
      </c>
      <c r="R47" s="369"/>
      <c r="S47" s="369"/>
      <c r="T47" s="370">
        <v>193</v>
      </c>
      <c r="U47" s="369">
        <v>2827</v>
      </c>
    </row>
    <row r="48" spans="2:21" s="333" customFormat="1" ht="16.2" x14ac:dyDescent="0.45">
      <c r="B48" s="313"/>
      <c r="C48" s="296" t="s">
        <v>46</v>
      </c>
      <c r="D48" s="297"/>
      <c r="E48" s="371">
        <v>465</v>
      </c>
      <c r="F48" s="371">
        <v>534</v>
      </c>
      <c r="G48" s="371">
        <v>406</v>
      </c>
      <c r="H48" s="371">
        <v>1405</v>
      </c>
      <c r="I48" s="371">
        <v>244</v>
      </c>
      <c r="J48" s="371">
        <v>190</v>
      </c>
      <c r="K48" s="371">
        <v>191</v>
      </c>
      <c r="L48" s="371">
        <v>625</v>
      </c>
      <c r="M48" s="371">
        <v>178</v>
      </c>
      <c r="N48" s="371">
        <v>197</v>
      </c>
      <c r="O48" s="371">
        <v>229</v>
      </c>
      <c r="P48" s="371">
        <v>604</v>
      </c>
      <c r="Q48" s="371">
        <v>193</v>
      </c>
      <c r="R48" s="371"/>
      <c r="S48" s="371"/>
      <c r="T48" s="371">
        <v>193</v>
      </c>
      <c r="U48" s="371">
        <v>2827</v>
      </c>
    </row>
    <row r="49" spans="2:21" s="333" customFormat="1" ht="16.2" hidden="1" outlineLevel="1" x14ac:dyDescent="0.45">
      <c r="B49" s="314"/>
      <c r="C49" s="301" t="s">
        <v>48</v>
      </c>
      <c r="D49" s="302"/>
      <c r="E49" s="375">
        <v>0</v>
      </c>
      <c r="F49" s="372">
        <v>0</v>
      </c>
      <c r="G49" s="372">
        <v>0</v>
      </c>
      <c r="H49" s="375">
        <v>0</v>
      </c>
      <c r="I49" s="372">
        <v>0</v>
      </c>
      <c r="J49" s="372">
        <v>0</v>
      </c>
      <c r="K49" s="372">
        <v>0</v>
      </c>
      <c r="L49" s="372">
        <v>0</v>
      </c>
      <c r="M49" s="372">
        <v>0</v>
      </c>
      <c r="N49" s="372">
        <v>0</v>
      </c>
      <c r="O49" s="372">
        <v>0</v>
      </c>
      <c r="P49" s="372">
        <v>0</v>
      </c>
      <c r="Q49" s="372">
        <v>0</v>
      </c>
      <c r="R49" s="372"/>
      <c r="S49" s="372"/>
      <c r="T49" s="372">
        <v>0</v>
      </c>
      <c r="U49" s="372">
        <v>0</v>
      </c>
    </row>
    <row r="50" spans="2:21" s="333" customFormat="1" ht="16.2" collapsed="1" x14ac:dyDescent="0.45">
      <c r="B50" s="291" t="s">
        <v>112</v>
      </c>
      <c r="C50" s="292"/>
      <c r="D50" s="292"/>
      <c r="E50" s="369">
        <v>6106</v>
      </c>
      <c r="F50" s="369">
        <v>6511</v>
      </c>
      <c r="G50" s="369">
        <v>11234</v>
      </c>
      <c r="H50" s="370">
        <v>23851</v>
      </c>
      <c r="I50" s="369">
        <v>5832</v>
      </c>
      <c r="J50" s="369">
        <v>5819</v>
      </c>
      <c r="K50" s="369">
        <v>6642</v>
      </c>
      <c r="L50" s="369">
        <v>18293</v>
      </c>
      <c r="M50" s="369">
        <v>6521</v>
      </c>
      <c r="N50" s="369">
        <v>5564</v>
      </c>
      <c r="O50" s="369">
        <v>10797</v>
      </c>
      <c r="P50" s="370">
        <v>22882</v>
      </c>
      <c r="Q50" s="369">
        <v>6742</v>
      </c>
      <c r="R50" s="369"/>
      <c r="S50" s="369"/>
      <c r="T50" s="370">
        <v>6742</v>
      </c>
      <c r="U50" s="369">
        <v>71768</v>
      </c>
    </row>
    <row r="51" spans="2:21" s="333" customFormat="1" ht="16.2" x14ac:dyDescent="0.45">
      <c r="B51" s="295"/>
      <c r="C51" s="296" t="s">
        <v>46</v>
      </c>
      <c r="D51" s="297"/>
      <c r="E51" s="371">
        <v>5936</v>
      </c>
      <c r="F51" s="371">
        <v>6162</v>
      </c>
      <c r="G51" s="371">
        <v>10385</v>
      </c>
      <c r="H51" s="371">
        <v>22483</v>
      </c>
      <c r="I51" s="371">
        <v>5306</v>
      </c>
      <c r="J51" s="371">
        <v>5311</v>
      </c>
      <c r="K51" s="371">
        <v>5971</v>
      </c>
      <c r="L51" s="371">
        <v>16588</v>
      </c>
      <c r="M51" s="371">
        <v>5991</v>
      </c>
      <c r="N51" s="371">
        <v>4977</v>
      </c>
      <c r="O51" s="371">
        <v>10141</v>
      </c>
      <c r="P51" s="371">
        <v>21109</v>
      </c>
      <c r="Q51" s="371">
        <v>6264</v>
      </c>
      <c r="R51" s="371"/>
      <c r="S51" s="371"/>
      <c r="T51" s="371">
        <v>6264</v>
      </c>
      <c r="U51" s="371">
        <v>66444</v>
      </c>
    </row>
    <row r="52" spans="2:21" s="333" customFormat="1" ht="16.2" x14ac:dyDescent="0.45">
      <c r="B52" s="295"/>
      <c r="C52" s="340" t="s">
        <v>49</v>
      </c>
      <c r="D52" s="373"/>
      <c r="E52" s="374">
        <v>81</v>
      </c>
      <c r="F52" s="374">
        <v>258</v>
      </c>
      <c r="G52" s="374">
        <v>716</v>
      </c>
      <c r="H52" s="374">
        <v>1055</v>
      </c>
      <c r="I52" s="374">
        <v>439</v>
      </c>
      <c r="J52" s="374">
        <v>377</v>
      </c>
      <c r="K52" s="374">
        <v>395</v>
      </c>
      <c r="L52" s="374">
        <v>1211</v>
      </c>
      <c r="M52" s="374">
        <v>335</v>
      </c>
      <c r="N52" s="374">
        <v>354</v>
      </c>
      <c r="O52" s="374">
        <v>476</v>
      </c>
      <c r="P52" s="374">
        <v>1165</v>
      </c>
      <c r="Q52" s="374">
        <v>228</v>
      </c>
      <c r="R52" s="374"/>
      <c r="S52" s="374"/>
      <c r="T52" s="374">
        <v>228</v>
      </c>
      <c r="U52" s="374">
        <v>3659</v>
      </c>
    </row>
    <row r="53" spans="2:21" s="333" customFormat="1" ht="16.2" x14ac:dyDescent="0.45">
      <c r="B53" s="295"/>
      <c r="C53" s="301" t="s">
        <v>48</v>
      </c>
      <c r="D53" s="310"/>
      <c r="E53" s="375">
        <v>89</v>
      </c>
      <c r="F53" s="375">
        <v>91</v>
      </c>
      <c r="G53" s="375">
        <v>133</v>
      </c>
      <c r="H53" s="375">
        <v>313</v>
      </c>
      <c r="I53" s="375">
        <v>87</v>
      </c>
      <c r="J53" s="375">
        <v>131</v>
      </c>
      <c r="K53" s="375">
        <v>276</v>
      </c>
      <c r="L53" s="375">
        <v>494</v>
      </c>
      <c r="M53" s="375">
        <v>195</v>
      </c>
      <c r="N53" s="375">
        <v>233</v>
      </c>
      <c r="O53" s="375">
        <v>180</v>
      </c>
      <c r="P53" s="375">
        <v>608</v>
      </c>
      <c r="Q53" s="375">
        <v>250</v>
      </c>
      <c r="R53" s="375"/>
      <c r="S53" s="375"/>
      <c r="T53" s="375">
        <v>250</v>
      </c>
      <c r="U53" s="375">
        <v>1665</v>
      </c>
    </row>
    <row r="54" spans="2:21" s="333" customFormat="1" ht="16.2" x14ac:dyDescent="0.45">
      <c r="B54" s="291" t="s">
        <v>143</v>
      </c>
      <c r="C54" s="315"/>
      <c r="D54" s="315"/>
      <c r="E54" s="369">
        <v>102</v>
      </c>
      <c r="F54" s="369">
        <v>190</v>
      </c>
      <c r="G54" s="369">
        <v>419</v>
      </c>
      <c r="H54" s="370">
        <v>711</v>
      </c>
      <c r="I54" s="369">
        <v>88</v>
      </c>
      <c r="J54" s="369">
        <v>138</v>
      </c>
      <c r="K54" s="369">
        <v>118</v>
      </c>
      <c r="L54" s="370">
        <v>344</v>
      </c>
      <c r="M54" s="369">
        <v>142</v>
      </c>
      <c r="N54" s="369">
        <v>151</v>
      </c>
      <c r="O54" s="369">
        <v>188</v>
      </c>
      <c r="P54" s="370">
        <v>481</v>
      </c>
      <c r="Q54" s="369">
        <v>159</v>
      </c>
      <c r="R54" s="369"/>
      <c r="S54" s="369"/>
      <c r="T54" s="370">
        <v>159</v>
      </c>
      <c r="U54" s="376">
        <v>1695</v>
      </c>
    </row>
    <row r="55" spans="2:21" s="333" customFormat="1" ht="16.2" x14ac:dyDescent="0.45">
      <c r="B55" s="377"/>
      <c r="C55" s="296" t="s">
        <v>46</v>
      </c>
      <c r="D55" s="297"/>
      <c r="E55" s="371">
        <v>102</v>
      </c>
      <c r="F55" s="371">
        <v>190</v>
      </c>
      <c r="G55" s="371">
        <v>419</v>
      </c>
      <c r="H55" s="371">
        <v>711</v>
      </c>
      <c r="I55" s="371">
        <v>88</v>
      </c>
      <c r="J55" s="371">
        <v>138</v>
      </c>
      <c r="K55" s="371">
        <v>118</v>
      </c>
      <c r="L55" s="371">
        <v>344</v>
      </c>
      <c r="M55" s="371">
        <v>142</v>
      </c>
      <c r="N55" s="371">
        <v>151</v>
      </c>
      <c r="O55" s="371">
        <v>188</v>
      </c>
      <c r="P55" s="371">
        <v>481</v>
      </c>
      <c r="Q55" s="371">
        <v>159</v>
      </c>
      <c r="R55" s="371"/>
      <c r="S55" s="371"/>
      <c r="T55" s="371">
        <v>159</v>
      </c>
      <c r="U55" s="371">
        <v>1695</v>
      </c>
    </row>
    <row r="56" spans="2:21" s="333" customFormat="1" ht="16.2" hidden="1" outlineLevel="1" x14ac:dyDescent="0.45">
      <c r="B56" s="305"/>
      <c r="C56" s="301" t="s">
        <v>48</v>
      </c>
      <c r="D56" s="310"/>
      <c r="E56" s="375">
        <v>0</v>
      </c>
      <c r="F56" s="375">
        <v>0</v>
      </c>
      <c r="G56" s="375">
        <v>0</v>
      </c>
      <c r="H56" s="375">
        <v>0</v>
      </c>
      <c r="I56" s="375">
        <v>0</v>
      </c>
      <c r="J56" s="375">
        <v>0</v>
      </c>
      <c r="K56" s="375">
        <v>0</v>
      </c>
      <c r="L56" s="375">
        <v>0</v>
      </c>
      <c r="M56" s="375">
        <v>0</v>
      </c>
      <c r="N56" s="375">
        <v>0</v>
      </c>
      <c r="O56" s="375">
        <v>0</v>
      </c>
      <c r="P56" s="375">
        <v>0</v>
      </c>
      <c r="Q56" s="375">
        <v>0</v>
      </c>
      <c r="R56" s="375"/>
      <c r="S56" s="375"/>
      <c r="T56" s="375">
        <v>0</v>
      </c>
      <c r="U56" s="375">
        <v>0</v>
      </c>
    </row>
    <row r="57" spans="2:21" s="333" customFormat="1" ht="16.2" collapsed="1" x14ac:dyDescent="0.45">
      <c r="B57" s="291" t="s">
        <v>116</v>
      </c>
      <c r="C57" s="292"/>
      <c r="D57" s="292"/>
      <c r="E57" s="369">
        <v>7259</v>
      </c>
      <c r="F57" s="369">
        <v>7586</v>
      </c>
      <c r="G57" s="369">
        <v>9319</v>
      </c>
      <c r="H57" s="370">
        <v>24164</v>
      </c>
      <c r="I57" s="369">
        <v>4634</v>
      </c>
      <c r="J57" s="369">
        <v>6376</v>
      </c>
      <c r="K57" s="369">
        <v>6867</v>
      </c>
      <c r="L57" s="369">
        <v>17877</v>
      </c>
      <c r="M57" s="369">
        <v>7569</v>
      </c>
      <c r="N57" s="369">
        <v>8235</v>
      </c>
      <c r="O57" s="369">
        <v>7904</v>
      </c>
      <c r="P57" s="370">
        <v>23708</v>
      </c>
      <c r="Q57" s="369">
        <v>8648</v>
      </c>
      <c r="R57" s="369"/>
      <c r="S57" s="369"/>
      <c r="T57" s="370">
        <v>8648</v>
      </c>
      <c r="U57" s="369">
        <v>74397</v>
      </c>
    </row>
    <row r="58" spans="2:21" s="333" customFormat="1" ht="16.2" x14ac:dyDescent="0.45">
      <c r="B58" s="295"/>
      <c r="C58" s="296" t="s">
        <v>46</v>
      </c>
      <c r="D58" s="297"/>
      <c r="E58" s="371">
        <v>7224</v>
      </c>
      <c r="F58" s="371">
        <v>7558</v>
      </c>
      <c r="G58" s="371">
        <v>9282</v>
      </c>
      <c r="H58" s="371">
        <v>24064</v>
      </c>
      <c r="I58" s="371">
        <v>4623</v>
      </c>
      <c r="J58" s="371">
        <v>6342</v>
      </c>
      <c r="K58" s="371">
        <v>6814</v>
      </c>
      <c r="L58" s="371">
        <v>17779</v>
      </c>
      <c r="M58" s="371">
        <v>7486</v>
      </c>
      <c r="N58" s="371">
        <v>8152</v>
      </c>
      <c r="O58" s="371">
        <v>7845</v>
      </c>
      <c r="P58" s="371">
        <v>23483</v>
      </c>
      <c r="Q58" s="371">
        <v>8606</v>
      </c>
      <c r="R58" s="371"/>
      <c r="S58" s="371"/>
      <c r="T58" s="371">
        <v>8606</v>
      </c>
      <c r="U58" s="371">
        <v>73932</v>
      </c>
    </row>
    <row r="59" spans="2:21" s="333" customFormat="1" ht="16.2" x14ac:dyDescent="0.45">
      <c r="B59" s="295"/>
      <c r="C59" s="309" t="s">
        <v>48</v>
      </c>
      <c r="D59" s="310"/>
      <c r="E59" s="375">
        <v>35</v>
      </c>
      <c r="F59" s="375">
        <v>28</v>
      </c>
      <c r="G59" s="375">
        <v>37</v>
      </c>
      <c r="H59" s="375">
        <v>100</v>
      </c>
      <c r="I59" s="375">
        <v>11</v>
      </c>
      <c r="J59" s="375">
        <v>34</v>
      </c>
      <c r="K59" s="375">
        <v>53</v>
      </c>
      <c r="L59" s="375">
        <v>98</v>
      </c>
      <c r="M59" s="375">
        <v>83</v>
      </c>
      <c r="N59" s="375">
        <v>83</v>
      </c>
      <c r="O59" s="375">
        <v>59</v>
      </c>
      <c r="P59" s="375">
        <v>225</v>
      </c>
      <c r="Q59" s="375">
        <v>42</v>
      </c>
      <c r="R59" s="375"/>
      <c r="S59" s="375"/>
      <c r="T59" s="375">
        <v>42</v>
      </c>
      <c r="U59" s="375">
        <v>465</v>
      </c>
    </row>
    <row r="60" spans="2:21" s="333" customFormat="1" ht="16.2" x14ac:dyDescent="0.45">
      <c r="B60" s="291" t="s">
        <v>90</v>
      </c>
      <c r="C60" s="292"/>
      <c r="D60" s="292"/>
      <c r="E60" s="369">
        <v>6629</v>
      </c>
      <c r="F60" s="369">
        <v>5103</v>
      </c>
      <c r="G60" s="369">
        <v>8638</v>
      </c>
      <c r="H60" s="370">
        <v>20370</v>
      </c>
      <c r="I60" s="369">
        <v>7571</v>
      </c>
      <c r="J60" s="369">
        <v>9067</v>
      </c>
      <c r="K60" s="369">
        <v>7606</v>
      </c>
      <c r="L60" s="369">
        <v>24244</v>
      </c>
      <c r="M60" s="369">
        <v>5992</v>
      </c>
      <c r="N60" s="369">
        <v>7236</v>
      </c>
      <c r="O60" s="369">
        <v>7028</v>
      </c>
      <c r="P60" s="370">
        <v>20256</v>
      </c>
      <c r="Q60" s="369">
        <v>7913</v>
      </c>
      <c r="R60" s="369"/>
      <c r="S60" s="369"/>
      <c r="T60" s="370">
        <v>7913</v>
      </c>
      <c r="U60" s="369">
        <v>72783</v>
      </c>
    </row>
    <row r="61" spans="2:21" s="333" customFormat="1" ht="16.2" x14ac:dyDescent="0.45">
      <c r="B61" s="295"/>
      <c r="C61" s="296" t="s">
        <v>178</v>
      </c>
      <c r="D61" s="378"/>
      <c r="E61" s="371">
        <v>5946</v>
      </c>
      <c r="F61" s="371">
        <v>4235</v>
      </c>
      <c r="G61" s="371">
        <v>6541</v>
      </c>
      <c r="H61" s="371">
        <v>16722</v>
      </c>
      <c r="I61" s="371">
        <v>5625</v>
      </c>
      <c r="J61" s="371">
        <v>7344</v>
      </c>
      <c r="K61" s="371">
        <v>6225</v>
      </c>
      <c r="L61" s="371">
        <v>19194</v>
      </c>
      <c r="M61" s="371">
        <v>4229</v>
      </c>
      <c r="N61" s="371">
        <v>4821</v>
      </c>
      <c r="O61" s="371">
        <v>4752</v>
      </c>
      <c r="P61" s="371">
        <v>13802</v>
      </c>
      <c r="Q61" s="371">
        <v>5541</v>
      </c>
      <c r="R61" s="371"/>
      <c r="S61" s="371"/>
      <c r="T61" s="371">
        <v>5541</v>
      </c>
      <c r="U61" s="371">
        <v>55259</v>
      </c>
    </row>
    <row r="62" spans="2:21" s="333" customFormat="1" ht="16.2" x14ac:dyDescent="0.45">
      <c r="B62" s="295"/>
      <c r="C62" s="379" t="s">
        <v>49</v>
      </c>
      <c r="D62" s="380"/>
      <c r="E62" s="381">
        <v>511</v>
      </c>
      <c r="F62" s="381">
        <v>505</v>
      </c>
      <c r="G62" s="381">
        <v>1210</v>
      </c>
      <c r="H62" s="381">
        <v>2226</v>
      </c>
      <c r="I62" s="381">
        <v>740</v>
      </c>
      <c r="J62" s="381">
        <v>719</v>
      </c>
      <c r="K62" s="381">
        <v>582</v>
      </c>
      <c r="L62" s="381">
        <v>2041</v>
      </c>
      <c r="M62" s="381">
        <v>499</v>
      </c>
      <c r="N62" s="381">
        <v>455</v>
      </c>
      <c r="O62" s="381">
        <v>562</v>
      </c>
      <c r="P62" s="381">
        <v>1516</v>
      </c>
      <c r="Q62" s="381">
        <v>510</v>
      </c>
      <c r="R62" s="381"/>
      <c r="S62" s="381"/>
      <c r="T62" s="381">
        <v>510</v>
      </c>
      <c r="U62" s="381">
        <v>6293</v>
      </c>
    </row>
    <row r="63" spans="2:21" s="333" customFormat="1" ht="16.2" x14ac:dyDescent="0.45">
      <c r="B63" s="295"/>
      <c r="C63" s="309" t="s">
        <v>48</v>
      </c>
      <c r="D63" s="382"/>
      <c r="E63" s="383">
        <v>172</v>
      </c>
      <c r="F63" s="383">
        <v>363</v>
      </c>
      <c r="G63" s="383">
        <v>887</v>
      </c>
      <c r="H63" s="383">
        <v>1422</v>
      </c>
      <c r="I63" s="383">
        <v>1206</v>
      </c>
      <c r="J63" s="383">
        <v>1004</v>
      </c>
      <c r="K63" s="383">
        <v>799</v>
      </c>
      <c r="L63" s="383">
        <v>3009</v>
      </c>
      <c r="M63" s="383">
        <v>1264</v>
      </c>
      <c r="N63" s="383">
        <v>1960</v>
      </c>
      <c r="O63" s="383">
        <v>1714</v>
      </c>
      <c r="P63" s="383">
        <v>4938</v>
      </c>
      <c r="Q63" s="383">
        <v>1862</v>
      </c>
      <c r="R63" s="383"/>
      <c r="S63" s="383"/>
      <c r="T63" s="383">
        <v>1862</v>
      </c>
      <c r="U63" s="383">
        <v>11231</v>
      </c>
    </row>
    <row r="64" spans="2:21" s="333" customFormat="1" ht="6" customHeight="1" thickBot="1" x14ac:dyDescent="0.5">
      <c r="B64" s="328"/>
      <c r="C64" s="329"/>
      <c r="D64" s="329"/>
      <c r="E64" s="403"/>
      <c r="F64" s="403"/>
      <c r="G64" s="403"/>
      <c r="H64" s="403"/>
      <c r="I64" s="403"/>
      <c r="J64" s="403"/>
      <c r="K64" s="403"/>
      <c r="L64" s="404"/>
      <c r="M64" s="405"/>
      <c r="N64" s="405"/>
      <c r="O64" s="406"/>
      <c r="P64" s="405"/>
      <c r="Q64" s="384"/>
      <c r="R64" s="405"/>
      <c r="S64" s="405"/>
      <c r="T64" s="384"/>
      <c r="U64" s="404"/>
    </row>
    <row r="65" spans="2:28" s="357" customFormat="1" ht="16.8" thickBot="1" x14ac:dyDescent="0.5">
      <c r="B65" s="385" t="s">
        <v>173</v>
      </c>
      <c r="C65" s="512"/>
      <c r="D65" s="512"/>
      <c r="E65" s="518">
        <v>76130</v>
      </c>
      <c r="F65" s="518">
        <v>80076</v>
      </c>
      <c r="G65" s="518">
        <v>112036</v>
      </c>
      <c r="H65" s="518">
        <v>268242</v>
      </c>
      <c r="I65" s="518">
        <v>83260</v>
      </c>
      <c r="J65" s="518">
        <v>83650</v>
      </c>
      <c r="K65" s="518">
        <v>79404</v>
      </c>
      <c r="L65" s="519">
        <v>246314</v>
      </c>
      <c r="M65" s="520">
        <v>85171</v>
      </c>
      <c r="N65" s="520">
        <v>87810</v>
      </c>
      <c r="O65" s="516">
        <v>90832</v>
      </c>
      <c r="P65" s="520">
        <v>263813</v>
      </c>
      <c r="Q65" s="516">
        <v>82426</v>
      </c>
      <c r="R65" s="516"/>
      <c r="S65" s="516"/>
      <c r="T65" s="516">
        <v>82426</v>
      </c>
      <c r="U65" s="521">
        <v>860795</v>
      </c>
    </row>
    <row r="66" spans="2:28" s="333" customFormat="1" ht="16.2" x14ac:dyDescent="0.45">
      <c r="B66" s="386"/>
      <c r="C66" s="387" t="s">
        <v>46</v>
      </c>
      <c r="D66" s="378"/>
      <c r="E66" s="407">
        <v>69097</v>
      </c>
      <c r="F66" s="407">
        <v>73654</v>
      </c>
      <c r="G66" s="407">
        <v>103380</v>
      </c>
      <c r="H66" s="408">
        <v>246131</v>
      </c>
      <c r="I66" s="407">
        <v>75893</v>
      </c>
      <c r="J66" s="407">
        <v>76944</v>
      </c>
      <c r="K66" s="407">
        <v>72564</v>
      </c>
      <c r="L66" s="409">
        <v>225401</v>
      </c>
      <c r="M66" s="400">
        <v>75202</v>
      </c>
      <c r="N66" s="400">
        <v>74377</v>
      </c>
      <c r="O66" s="371">
        <v>79646</v>
      </c>
      <c r="P66" s="400">
        <v>229225</v>
      </c>
      <c r="Q66" s="371">
        <v>76852</v>
      </c>
      <c r="R66" s="371"/>
      <c r="S66" s="371"/>
      <c r="T66" s="371">
        <v>76852</v>
      </c>
      <c r="U66" s="410">
        <v>777609</v>
      </c>
    </row>
    <row r="67" spans="2:28" s="333" customFormat="1" ht="16.2" x14ac:dyDescent="0.45">
      <c r="B67" s="386"/>
      <c r="C67" s="391" t="s">
        <v>49</v>
      </c>
      <c r="D67" s="380"/>
      <c r="E67" s="401">
        <v>592</v>
      </c>
      <c r="F67" s="401">
        <v>763</v>
      </c>
      <c r="G67" s="401">
        <v>1926</v>
      </c>
      <c r="H67" s="411">
        <v>3281</v>
      </c>
      <c r="I67" s="401">
        <v>1179</v>
      </c>
      <c r="J67" s="401">
        <v>1097</v>
      </c>
      <c r="K67" s="401">
        <v>977</v>
      </c>
      <c r="L67" s="412">
        <v>3253</v>
      </c>
      <c r="M67" s="402">
        <v>834</v>
      </c>
      <c r="N67" s="402">
        <v>809</v>
      </c>
      <c r="O67" s="381">
        <v>1038</v>
      </c>
      <c r="P67" s="402">
        <v>2681</v>
      </c>
      <c r="Q67" s="381">
        <v>738</v>
      </c>
      <c r="R67" s="381"/>
      <c r="S67" s="381"/>
      <c r="T67" s="381">
        <v>738</v>
      </c>
      <c r="U67" s="413">
        <v>9953</v>
      </c>
    </row>
    <row r="68" spans="2:28" s="333" customFormat="1" ht="16.8" thickBot="1" x14ac:dyDescent="0.5">
      <c r="B68" s="394"/>
      <c r="C68" s="395" t="s">
        <v>47</v>
      </c>
      <c r="D68" s="396"/>
      <c r="E68" s="414">
        <v>6441</v>
      </c>
      <c r="F68" s="414">
        <v>5659</v>
      </c>
      <c r="G68" s="414">
        <v>6730</v>
      </c>
      <c r="H68" s="415">
        <v>18830</v>
      </c>
      <c r="I68" s="414">
        <v>6188</v>
      </c>
      <c r="J68" s="414">
        <v>5609</v>
      </c>
      <c r="K68" s="414">
        <v>5863</v>
      </c>
      <c r="L68" s="416">
        <v>17660</v>
      </c>
      <c r="M68" s="417">
        <v>9135</v>
      </c>
      <c r="N68" s="417">
        <v>12624</v>
      </c>
      <c r="O68" s="397">
        <v>10148</v>
      </c>
      <c r="P68" s="417">
        <v>31907</v>
      </c>
      <c r="Q68" s="397">
        <v>4836</v>
      </c>
      <c r="R68" s="397"/>
      <c r="S68" s="397"/>
      <c r="T68" s="397">
        <v>4836</v>
      </c>
      <c r="U68" s="418">
        <v>73233</v>
      </c>
    </row>
    <row r="69" spans="2:28" ht="3.75" customHeight="1" x14ac:dyDescent="0.45">
      <c r="B69" s="146"/>
      <c r="C69" s="89"/>
      <c r="D69" s="89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Z69" s="197"/>
      <c r="AB69" s="197"/>
    </row>
    <row r="70" spans="2:28" x14ac:dyDescent="0.45">
      <c r="B70" s="198"/>
      <c r="C70" s="199"/>
      <c r="D70" s="199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</row>
    <row r="71" spans="2:28" ht="16.2" x14ac:dyDescent="0.45">
      <c r="B71" s="357" t="s">
        <v>0</v>
      </c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</row>
    <row r="72" spans="2:28" x14ac:dyDescent="0.45">
      <c r="B72" s="202"/>
      <c r="C72" s="203"/>
      <c r="D72" s="203"/>
      <c r="E72" s="616" t="s">
        <v>45</v>
      </c>
      <c r="F72" s="617"/>
      <c r="G72" s="617"/>
      <c r="H72" s="617"/>
      <c r="I72" s="617"/>
      <c r="J72" s="617"/>
      <c r="K72" s="617"/>
      <c r="L72" s="617"/>
      <c r="M72" s="617"/>
      <c r="N72" s="617"/>
      <c r="O72" s="617"/>
      <c r="P72" s="617"/>
      <c r="Q72" s="617"/>
      <c r="R72" s="617"/>
      <c r="S72" s="617"/>
      <c r="T72" s="617"/>
      <c r="U72" s="618"/>
    </row>
    <row r="73" spans="2:28" x14ac:dyDescent="0.45">
      <c r="B73" s="204"/>
      <c r="C73" s="205"/>
      <c r="D73" s="205"/>
      <c r="E73" s="264"/>
      <c r="F73" s="265"/>
      <c r="G73" s="265"/>
      <c r="H73" s="595" t="s">
        <v>50</v>
      </c>
      <c r="I73" s="264"/>
      <c r="J73" s="265"/>
      <c r="K73" s="265"/>
      <c r="L73" s="595" t="s">
        <v>51</v>
      </c>
      <c r="M73" s="264"/>
      <c r="N73" s="265"/>
      <c r="O73" s="265"/>
      <c r="P73" s="595" t="s">
        <v>52</v>
      </c>
      <c r="Q73" s="264"/>
      <c r="R73" s="265"/>
      <c r="S73" s="265"/>
      <c r="T73" s="595" t="s">
        <v>53</v>
      </c>
      <c r="U73" s="266"/>
    </row>
    <row r="74" spans="2:28" x14ac:dyDescent="0.45">
      <c r="B74" s="206"/>
      <c r="C74" s="207"/>
      <c r="D74" s="207"/>
      <c r="E74" s="267" t="str">
        <f t="shared" ref="E74:G74" si="4">E40</f>
        <v>1月/Jan.</v>
      </c>
      <c r="F74" s="267" t="str">
        <f t="shared" si="4"/>
        <v>2月/Feb.</v>
      </c>
      <c r="G74" s="267" t="str">
        <f t="shared" si="4"/>
        <v>3月/Mar.</v>
      </c>
      <c r="H74" s="596"/>
      <c r="I74" s="267" t="str">
        <f t="shared" ref="I74:K74" si="5">I40</f>
        <v>4月/Apr.</v>
      </c>
      <c r="J74" s="267" t="str">
        <f t="shared" si="5"/>
        <v>5月/May</v>
      </c>
      <c r="K74" s="267" t="str">
        <f t="shared" si="5"/>
        <v>6月/Jun.</v>
      </c>
      <c r="L74" s="596"/>
      <c r="M74" s="267" t="str">
        <f t="shared" ref="M74:O74" si="6">M40</f>
        <v>7月/Jul.</v>
      </c>
      <c r="N74" s="267" t="str">
        <f t="shared" si="6"/>
        <v>8月/Aug.</v>
      </c>
      <c r="O74" s="267" t="str">
        <f t="shared" si="6"/>
        <v>9月/Sep.</v>
      </c>
      <c r="P74" s="596"/>
      <c r="Q74" s="267" t="str">
        <f t="shared" ref="Q74:S74" si="7">Q40</f>
        <v>10月/Oct.</v>
      </c>
      <c r="R74" s="267" t="str">
        <f t="shared" si="7"/>
        <v>11月/Nov.</v>
      </c>
      <c r="S74" s="267" t="str">
        <f t="shared" si="7"/>
        <v>12月/Dec.</v>
      </c>
      <c r="T74" s="596"/>
      <c r="U74" s="268" t="s">
        <v>39</v>
      </c>
    </row>
    <row r="75" spans="2:28" s="333" customFormat="1" ht="16.2" x14ac:dyDescent="0.45">
      <c r="B75" s="291" t="s">
        <v>55</v>
      </c>
      <c r="C75" s="292"/>
      <c r="D75" s="292"/>
      <c r="E75" s="419">
        <v>0.8680165144061841</v>
      </c>
      <c r="F75" s="419">
        <v>0.91339703191705635</v>
      </c>
      <c r="G75" s="419">
        <v>0.94232223903177004</v>
      </c>
      <c r="H75" s="420">
        <v>0.91193688283116914</v>
      </c>
      <c r="I75" s="419">
        <v>0.80824544582933844</v>
      </c>
      <c r="J75" s="419">
        <v>0.89424651346620743</v>
      </c>
      <c r="K75" s="419">
        <v>0.80782963529711804</v>
      </c>
      <c r="L75" s="420">
        <v>0.83261671256260372</v>
      </c>
      <c r="M75" s="421">
        <v>0.8657450205899655</v>
      </c>
      <c r="N75" s="421">
        <v>0.92142156579934231</v>
      </c>
      <c r="O75" s="421">
        <v>1.1112999150382328</v>
      </c>
      <c r="P75" s="422">
        <v>0.97004839881863592</v>
      </c>
      <c r="Q75" s="419">
        <v>1.0989043384267676</v>
      </c>
      <c r="R75" s="419"/>
      <c r="S75" s="419"/>
      <c r="T75" s="420">
        <v>0.38540805073063139</v>
      </c>
      <c r="U75" s="419">
        <v>0.79172461357151247</v>
      </c>
    </row>
    <row r="76" spans="2:28" s="333" customFormat="1" ht="16.2" x14ac:dyDescent="0.45">
      <c r="B76" s="295"/>
      <c r="C76" s="296" t="s">
        <v>46</v>
      </c>
      <c r="D76" s="297"/>
      <c r="E76" s="423">
        <v>0.83249824191279886</v>
      </c>
      <c r="F76" s="423">
        <v>0.88793068380588214</v>
      </c>
      <c r="G76" s="423">
        <v>0.91931517215285663</v>
      </c>
      <c r="H76" s="423">
        <v>0.8845681901557223</v>
      </c>
      <c r="I76" s="423">
        <v>0.78097844351625134</v>
      </c>
      <c r="J76" s="423">
        <v>0.87355801854783988</v>
      </c>
      <c r="K76" s="423">
        <v>0.78734532465875751</v>
      </c>
      <c r="L76" s="423">
        <v>0.80978558761889408</v>
      </c>
      <c r="M76" s="424">
        <v>0.84382882125441394</v>
      </c>
      <c r="N76" s="424">
        <v>0.9011832611832612</v>
      </c>
      <c r="O76" s="424">
        <v>0.98402828059116654</v>
      </c>
      <c r="P76" s="424">
        <v>0.91017463462967552</v>
      </c>
      <c r="Q76" s="423">
        <v>1.0506611277167031</v>
      </c>
      <c r="R76" s="423"/>
      <c r="S76" s="423"/>
      <c r="T76" s="423">
        <v>0.37186659494351804</v>
      </c>
      <c r="U76" s="423">
        <v>0.76378407530513348</v>
      </c>
    </row>
    <row r="77" spans="2:28" s="333" customFormat="1" ht="16.2" x14ac:dyDescent="0.45">
      <c r="B77" s="300"/>
      <c r="C77" s="301" t="s">
        <v>47</v>
      </c>
      <c r="D77" s="302"/>
      <c r="E77" s="425">
        <v>51.375</v>
      </c>
      <c r="F77" s="425">
        <v>53.083333333333336</v>
      </c>
      <c r="G77" s="425">
        <v>61.75</v>
      </c>
      <c r="H77" s="425">
        <v>55</v>
      </c>
      <c r="I77" s="425">
        <v>19.129032258064516</v>
      </c>
      <c r="J77" s="425">
        <v>14.444444444444445</v>
      </c>
      <c r="K77" s="425">
        <v>54.333333333333336</v>
      </c>
      <c r="L77" s="425">
        <v>21.970149253731343</v>
      </c>
      <c r="M77" s="426">
        <v>53</v>
      </c>
      <c r="N77" s="426">
        <v>44.75</v>
      </c>
      <c r="O77" s="426">
        <v>50.098360655737707</v>
      </c>
      <c r="P77" s="426">
        <v>49.924050632911396</v>
      </c>
      <c r="Q77" s="426">
        <v>2.6498371335504887</v>
      </c>
      <c r="R77" s="427"/>
      <c r="S77" s="427"/>
      <c r="T77" s="425">
        <v>0.71927497789566752</v>
      </c>
      <c r="U77" s="425">
        <v>3.7757352941176472</v>
      </c>
    </row>
    <row r="78" spans="2:28" s="333" customFormat="1" ht="16.2" x14ac:dyDescent="0.45">
      <c r="B78" s="305" t="s">
        <v>58</v>
      </c>
      <c r="C78" s="306"/>
      <c r="D78" s="306"/>
      <c r="E78" s="419">
        <v>1.8592792605670372</v>
      </c>
      <c r="F78" s="419">
        <v>1.6096612992781787</v>
      </c>
      <c r="G78" s="419">
        <v>1.9009446004595354</v>
      </c>
      <c r="H78" s="420">
        <v>1.792195748323584</v>
      </c>
      <c r="I78" s="419">
        <v>1.9780495840540318</v>
      </c>
      <c r="J78" s="419">
        <v>1.5197606365489578</v>
      </c>
      <c r="K78" s="419">
        <v>1.4399985221310869</v>
      </c>
      <c r="L78" s="420">
        <v>1.6294611188571708</v>
      </c>
      <c r="M78" s="421">
        <v>1.38360327057423</v>
      </c>
      <c r="N78" s="421">
        <v>1.211079640919783</v>
      </c>
      <c r="O78" s="421">
        <v>1.0871074240243799</v>
      </c>
      <c r="P78" s="422">
        <v>1.2212947845389004</v>
      </c>
      <c r="Q78" s="419">
        <v>0.97631945934348852</v>
      </c>
      <c r="R78" s="419"/>
      <c r="S78" s="419"/>
      <c r="T78" s="420">
        <v>0.26841010970862333</v>
      </c>
      <c r="U78" s="428">
        <v>1.0804275345139795</v>
      </c>
    </row>
    <row r="79" spans="2:28" s="333" customFormat="1" ht="16.2" x14ac:dyDescent="0.45">
      <c r="B79" s="295"/>
      <c r="C79" s="296" t="s">
        <v>177</v>
      </c>
      <c r="D79" s="297"/>
      <c r="E79" s="423">
        <v>1.5828746494963133</v>
      </c>
      <c r="F79" s="423">
        <v>1.4157519326869688</v>
      </c>
      <c r="G79" s="423">
        <v>1.7210693314854664</v>
      </c>
      <c r="H79" s="423">
        <v>1.581110001426737</v>
      </c>
      <c r="I79" s="423">
        <v>1.8082599528711398</v>
      </c>
      <c r="J79" s="423">
        <v>1.4193114125130415</v>
      </c>
      <c r="K79" s="423">
        <v>1.3372222863963652</v>
      </c>
      <c r="L79" s="423">
        <v>1.510410276313648</v>
      </c>
      <c r="M79" s="424">
        <v>1.3397486820249873</v>
      </c>
      <c r="N79" s="424">
        <v>1.1498309322876707</v>
      </c>
      <c r="O79" s="424">
        <v>1.0914351095129127</v>
      </c>
      <c r="P79" s="424">
        <v>1.186987173315361</v>
      </c>
      <c r="Q79" s="423">
        <v>1.1108317883291958</v>
      </c>
      <c r="R79" s="423"/>
      <c r="S79" s="423"/>
      <c r="T79" s="423">
        <v>0.3157575053817227</v>
      </c>
      <c r="U79" s="423">
        <v>1.0629556575396815</v>
      </c>
    </row>
    <row r="80" spans="2:28" s="333" customFormat="1" ht="16.2" x14ac:dyDescent="0.45">
      <c r="B80" s="295"/>
      <c r="C80" s="301" t="s">
        <v>47</v>
      </c>
      <c r="D80" s="310"/>
      <c r="E80" s="429" t="s">
        <v>176</v>
      </c>
      <c r="F80" s="429" t="s">
        <v>176</v>
      </c>
      <c r="G80" s="429" t="s">
        <v>176</v>
      </c>
      <c r="H80" s="429" t="s">
        <v>176</v>
      </c>
      <c r="I80" s="430">
        <v>46.13978494623656</v>
      </c>
      <c r="J80" s="430">
        <v>5.7774607703281031</v>
      </c>
      <c r="K80" s="430">
        <v>3.8776255707762557</v>
      </c>
      <c r="L80" s="430">
        <v>6.6633139227104285</v>
      </c>
      <c r="M80" s="430">
        <v>1.6709250059143601</v>
      </c>
      <c r="N80" s="430">
        <v>1.544288143453393</v>
      </c>
      <c r="O80" s="430">
        <v>1.0598061455970302</v>
      </c>
      <c r="P80" s="430">
        <v>1.427597298166613</v>
      </c>
      <c r="Q80" s="430">
        <v>0.19304666056724612</v>
      </c>
      <c r="R80" s="430"/>
      <c r="S80" s="430"/>
      <c r="T80" s="430">
        <v>4.4554246378647744E-2</v>
      </c>
      <c r="U80" s="430">
        <v>1.2314596356383625</v>
      </c>
    </row>
    <row r="81" spans="2:21" s="333" customFormat="1" ht="16.2" x14ac:dyDescent="0.45">
      <c r="B81" s="291" t="s">
        <v>70</v>
      </c>
      <c r="C81" s="292"/>
      <c r="D81" s="292"/>
      <c r="E81" s="431">
        <v>2.3604060913705585</v>
      </c>
      <c r="F81" s="431">
        <v>3.7872340425531914</v>
      </c>
      <c r="G81" s="431">
        <v>1.4817518248175183</v>
      </c>
      <c r="H81" s="432">
        <v>2.2957516339869279</v>
      </c>
      <c r="I81" s="431">
        <v>0.75076923076923074</v>
      </c>
      <c r="J81" s="433">
        <v>0.66666666666666663</v>
      </c>
      <c r="K81" s="433">
        <v>0.69454545454545458</v>
      </c>
      <c r="L81" s="434">
        <v>0.70621468926553677</v>
      </c>
      <c r="M81" s="421">
        <v>0.62897526501766787</v>
      </c>
      <c r="N81" s="421">
        <v>0.60615384615384615</v>
      </c>
      <c r="O81" s="421">
        <v>0.7363344051446945</v>
      </c>
      <c r="P81" s="422">
        <v>0.65723612622415672</v>
      </c>
      <c r="Q81" s="419">
        <v>0.52162162162162162</v>
      </c>
      <c r="R81" s="419"/>
      <c r="S81" s="419"/>
      <c r="T81" s="420">
        <v>0.17755289788408463</v>
      </c>
      <c r="U81" s="419">
        <v>0.80702255209820151</v>
      </c>
    </row>
    <row r="82" spans="2:21" s="333" customFormat="1" ht="16.2" x14ac:dyDescent="0.45">
      <c r="B82" s="313"/>
      <c r="C82" s="296" t="s">
        <v>46</v>
      </c>
      <c r="D82" s="297"/>
      <c r="E82" s="435">
        <v>2.3604060913705585</v>
      </c>
      <c r="F82" s="435">
        <v>3.7872340425531914</v>
      </c>
      <c r="G82" s="435">
        <v>1.4817518248175183</v>
      </c>
      <c r="H82" s="435">
        <v>2.2957516339869279</v>
      </c>
      <c r="I82" s="435">
        <v>0.75076923076923074</v>
      </c>
      <c r="J82" s="435">
        <v>0.66666666666666663</v>
      </c>
      <c r="K82" s="435">
        <v>0.69454545454545458</v>
      </c>
      <c r="L82" s="435">
        <v>0.70621468926553677</v>
      </c>
      <c r="M82" s="424">
        <v>0.62897526501766787</v>
      </c>
      <c r="N82" s="424">
        <v>0.60615384615384615</v>
      </c>
      <c r="O82" s="424">
        <v>0.7363344051446945</v>
      </c>
      <c r="P82" s="424">
        <v>0.65723612622415672</v>
      </c>
      <c r="Q82" s="423">
        <v>0.52162162162162162</v>
      </c>
      <c r="R82" s="423"/>
      <c r="S82" s="423"/>
      <c r="T82" s="423">
        <v>0.17755289788408463</v>
      </c>
      <c r="U82" s="423">
        <v>0.80702255209820151</v>
      </c>
    </row>
    <row r="83" spans="2:21" s="333" customFormat="1" ht="16.2" hidden="1" outlineLevel="1" x14ac:dyDescent="0.45">
      <c r="B83" s="314"/>
      <c r="C83" s="301" t="s">
        <v>48</v>
      </c>
      <c r="D83" s="302"/>
      <c r="E83" s="429" t="s">
        <v>176</v>
      </c>
      <c r="F83" s="436" t="s">
        <v>176</v>
      </c>
      <c r="G83" s="436" t="s">
        <v>176</v>
      </c>
      <c r="H83" s="429" t="s">
        <v>176</v>
      </c>
      <c r="I83" s="436" t="s">
        <v>176</v>
      </c>
      <c r="J83" s="436" t="s">
        <v>176</v>
      </c>
      <c r="K83" s="436" t="s">
        <v>176</v>
      </c>
      <c r="L83" s="436" t="s">
        <v>176</v>
      </c>
      <c r="M83" s="437" t="s">
        <v>176</v>
      </c>
      <c r="N83" s="437" t="s">
        <v>176</v>
      </c>
      <c r="O83" s="437" t="s">
        <v>176</v>
      </c>
      <c r="P83" s="437" t="s">
        <v>176</v>
      </c>
      <c r="Q83" s="436" t="s">
        <v>176</v>
      </c>
      <c r="R83" s="436"/>
      <c r="S83" s="436"/>
      <c r="T83" s="436" t="s">
        <v>176</v>
      </c>
      <c r="U83" s="429" t="s">
        <v>176</v>
      </c>
    </row>
    <row r="84" spans="2:21" s="333" customFormat="1" ht="16.2" collapsed="1" x14ac:dyDescent="0.45">
      <c r="B84" s="291" t="s">
        <v>112</v>
      </c>
      <c r="C84" s="292"/>
      <c r="D84" s="292"/>
      <c r="E84" s="419">
        <v>0.97774219375500404</v>
      </c>
      <c r="F84" s="419">
        <v>1.0744224422442243</v>
      </c>
      <c r="G84" s="419">
        <v>0.84339339339339336</v>
      </c>
      <c r="H84" s="420">
        <v>0.93077073170731706</v>
      </c>
      <c r="I84" s="419">
        <v>0.93701799485861181</v>
      </c>
      <c r="J84" s="419">
        <v>1.079391578556854</v>
      </c>
      <c r="K84" s="419">
        <v>1.0702545923300033</v>
      </c>
      <c r="L84" s="420">
        <v>1.0264856068683015</v>
      </c>
      <c r="M84" s="421">
        <v>1.0385411689759516</v>
      </c>
      <c r="N84" s="421">
        <v>0.91332895600787922</v>
      </c>
      <c r="O84" s="421">
        <v>1.1339004410838058</v>
      </c>
      <c r="P84" s="422">
        <v>1.0451742566117024</v>
      </c>
      <c r="Q84" s="419">
        <v>1.0792380342564432</v>
      </c>
      <c r="R84" s="419"/>
      <c r="S84" s="419"/>
      <c r="T84" s="420">
        <v>0.37156241388812344</v>
      </c>
      <c r="U84" s="419">
        <v>0.8596617315892866</v>
      </c>
    </row>
    <row r="85" spans="2:21" s="333" customFormat="1" ht="16.2" x14ac:dyDescent="0.45">
      <c r="B85" s="295"/>
      <c r="C85" s="296" t="s">
        <v>46</v>
      </c>
      <c r="D85" s="297"/>
      <c r="E85" s="423">
        <v>1.0666666666666667</v>
      </c>
      <c r="F85" s="423">
        <v>1.1015373614587058</v>
      </c>
      <c r="G85" s="423">
        <v>0.98961311225462167</v>
      </c>
      <c r="H85" s="423">
        <v>1.0383318708723965</v>
      </c>
      <c r="I85" s="423">
        <v>1.0563408321720087</v>
      </c>
      <c r="J85" s="423">
        <v>1.1608743169398907</v>
      </c>
      <c r="K85" s="423">
        <v>1.108203414996288</v>
      </c>
      <c r="L85" s="423">
        <v>1.1068997731215802</v>
      </c>
      <c r="M85" s="424">
        <v>1.1025027603974973</v>
      </c>
      <c r="N85" s="424">
        <v>0.95472856320736621</v>
      </c>
      <c r="O85" s="424">
        <v>1.3151342238360784</v>
      </c>
      <c r="P85" s="424">
        <v>1.1498529251552456</v>
      </c>
      <c r="Q85" s="423">
        <v>1.1327305605786619</v>
      </c>
      <c r="R85" s="423"/>
      <c r="S85" s="423"/>
      <c r="T85" s="423">
        <v>0.37678195488721805</v>
      </c>
      <c r="U85" s="423">
        <v>0.92770377816871907</v>
      </c>
    </row>
    <row r="86" spans="2:21" s="333" customFormat="1" ht="16.2" x14ac:dyDescent="0.45">
      <c r="B86" s="295"/>
      <c r="C86" s="340" t="s">
        <v>49</v>
      </c>
      <c r="D86" s="373"/>
      <c r="E86" s="430">
        <v>0.28421052631578947</v>
      </c>
      <c r="F86" s="430">
        <v>1.270935960591133</v>
      </c>
      <c r="G86" s="430">
        <v>1.6422018348623852</v>
      </c>
      <c r="H86" s="430">
        <v>1.1417748917748918</v>
      </c>
      <c r="I86" s="430">
        <v>2.5523255813953489</v>
      </c>
      <c r="J86" s="430">
        <v>1.6180257510729614</v>
      </c>
      <c r="K86" s="430">
        <v>1.8036529680365296</v>
      </c>
      <c r="L86" s="430">
        <v>1.9407051282051282</v>
      </c>
      <c r="M86" s="438">
        <v>1.2007168458781361</v>
      </c>
      <c r="N86" s="438">
        <v>1.8341968911917099</v>
      </c>
      <c r="O86" s="438">
        <v>1.4512195121951219</v>
      </c>
      <c r="P86" s="438">
        <v>1.45625</v>
      </c>
      <c r="Q86" s="439">
        <v>1.5405405405405406</v>
      </c>
      <c r="R86" s="439"/>
      <c r="S86" s="439"/>
      <c r="T86" s="439">
        <v>0.77288135593220342</v>
      </c>
      <c r="U86" s="430">
        <v>1.3844116534241393</v>
      </c>
    </row>
    <row r="87" spans="2:21" s="333" customFormat="1" ht="16.2" x14ac:dyDescent="0.45">
      <c r="B87" s="295"/>
      <c r="C87" s="301" t="s">
        <v>48</v>
      </c>
      <c r="D87" s="310"/>
      <c r="E87" s="430">
        <v>0.22531645569620254</v>
      </c>
      <c r="F87" s="430">
        <v>0.34600760456273766</v>
      </c>
      <c r="G87" s="430">
        <v>5.5648535564853559E-2</v>
      </c>
      <c r="H87" s="430">
        <v>0.10269028871391075</v>
      </c>
      <c r="I87" s="430">
        <v>8.4548104956268216E-2</v>
      </c>
      <c r="J87" s="430">
        <v>0.22469982847341338</v>
      </c>
      <c r="K87" s="430">
        <v>0.46076794657762937</v>
      </c>
      <c r="L87" s="430">
        <v>0.2234283129805518</v>
      </c>
      <c r="M87" s="440">
        <v>0.34452296819787986</v>
      </c>
      <c r="N87" s="440">
        <v>0.33965014577259472</v>
      </c>
      <c r="O87" s="440">
        <v>0.12137559002022927</v>
      </c>
      <c r="P87" s="440">
        <v>0.22230347349177332</v>
      </c>
      <c r="Q87" s="441">
        <v>0.43936731107205623</v>
      </c>
      <c r="R87" s="441"/>
      <c r="S87" s="441"/>
      <c r="T87" s="441">
        <v>0.20408163265306123</v>
      </c>
      <c r="U87" s="430">
        <v>0.18060527172144483</v>
      </c>
    </row>
    <row r="88" spans="2:21" s="333" customFormat="1" ht="16.2" x14ac:dyDescent="0.45">
      <c r="B88" s="291" t="s">
        <v>143</v>
      </c>
      <c r="C88" s="315"/>
      <c r="D88" s="315"/>
      <c r="E88" s="419">
        <v>0.8571428571428571</v>
      </c>
      <c r="F88" s="419">
        <v>0.55718475073313778</v>
      </c>
      <c r="G88" s="419">
        <v>2.0845771144278609</v>
      </c>
      <c r="H88" s="420">
        <v>1.0756429652042361</v>
      </c>
      <c r="I88" s="419">
        <v>0.83018867924528306</v>
      </c>
      <c r="J88" s="419">
        <v>0.9517241379310345</v>
      </c>
      <c r="K88" s="419">
        <v>0.9007633587786259</v>
      </c>
      <c r="L88" s="420">
        <v>0.90052356020942403</v>
      </c>
      <c r="M88" s="421">
        <v>0.75132275132275128</v>
      </c>
      <c r="N88" s="421">
        <v>1.1796875</v>
      </c>
      <c r="O88" s="421">
        <v>1.0561797752808988</v>
      </c>
      <c r="P88" s="422">
        <v>0.97171717171717176</v>
      </c>
      <c r="Q88" s="419">
        <v>1.1605839416058394</v>
      </c>
      <c r="R88" s="419"/>
      <c r="S88" s="419"/>
      <c r="T88" s="420">
        <v>0.25853658536585367</v>
      </c>
      <c r="U88" s="431">
        <v>0.78727357176033441</v>
      </c>
    </row>
    <row r="89" spans="2:21" s="333" customFormat="1" ht="16.2" x14ac:dyDescent="0.45">
      <c r="B89" s="377"/>
      <c r="C89" s="296" t="s">
        <v>46</v>
      </c>
      <c r="D89" s="297"/>
      <c r="E89" s="423">
        <v>0.8571428571428571</v>
      </c>
      <c r="F89" s="423">
        <v>0.55718475073313778</v>
      </c>
      <c r="G89" s="423">
        <v>2.0845771144278609</v>
      </c>
      <c r="H89" s="423">
        <v>1.0756429652042361</v>
      </c>
      <c r="I89" s="423">
        <v>0.83018867924528306</v>
      </c>
      <c r="J89" s="423">
        <v>0.9517241379310345</v>
      </c>
      <c r="K89" s="423">
        <v>0.9007633587786259</v>
      </c>
      <c r="L89" s="423">
        <v>0.90052356020942403</v>
      </c>
      <c r="M89" s="424">
        <v>0.75132275132275128</v>
      </c>
      <c r="N89" s="424">
        <v>1.1796875</v>
      </c>
      <c r="O89" s="424">
        <v>1.0561797752808988</v>
      </c>
      <c r="P89" s="424">
        <v>0.97171717171717176</v>
      </c>
      <c r="Q89" s="423">
        <v>1.1605839416058394</v>
      </c>
      <c r="R89" s="423"/>
      <c r="S89" s="423"/>
      <c r="T89" s="423">
        <v>0.25853658536585367</v>
      </c>
      <c r="U89" s="423">
        <v>0.78727357176033441</v>
      </c>
    </row>
    <row r="90" spans="2:21" s="333" customFormat="1" ht="16.2" hidden="1" outlineLevel="1" x14ac:dyDescent="0.45">
      <c r="B90" s="305"/>
      <c r="C90" s="301" t="s">
        <v>48</v>
      </c>
      <c r="D90" s="310"/>
      <c r="E90" s="429" t="s">
        <v>176</v>
      </c>
      <c r="F90" s="430" t="s">
        <v>176</v>
      </c>
      <c r="G90" s="430" t="s">
        <v>176</v>
      </c>
      <c r="H90" s="429" t="s">
        <v>176</v>
      </c>
      <c r="I90" s="430" t="s">
        <v>176</v>
      </c>
      <c r="J90" s="430" t="s">
        <v>176</v>
      </c>
      <c r="K90" s="430" t="s">
        <v>176</v>
      </c>
      <c r="L90" s="430" t="s">
        <v>176</v>
      </c>
      <c r="M90" s="442" t="s">
        <v>176</v>
      </c>
      <c r="N90" s="442" t="s">
        <v>176</v>
      </c>
      <c r="O90" s="442" t="s">
        <v>176</v>
      </c>
      <c r="P90" s="442" t="s">
        <v>176</v>
      </c>
      <c r="Q90" s="430" t="s">
        <v>176</v>
      </c>
      <c r="R90" s="430"/>
      <c r="S90" s="430"/>
      <c r="T90" s="430" t="s">
        <v>176</v>
      </c>
      <c r="U90" s="429" t="s">
        <v>176</v>
      </c>
    </row>
    <row r="91" spans="2:21" s="333" customFormat="1" ht="16.2" collapsed="1" x14ac:dyDescent="0.45">
      <c r="B91" s="291" t="s">
        <v>116</v>
      </c>
      <c r="C91" s="292"/>
      <c r="D91" s="292"/>
      <c r="E91" s="419">
        <v>0.88600024411082634</v>
      </c>
      <c r="F91" s="419">
        <v>0.95928174001011635</v>
      </c>
      <c r="G91" s="419">
        <v>1.155773285377651</v>
      </c>
      <c r="H91" s="420">
        <v>1</v>
      </c>
      <c r="I91" s="419">
        <v>0.82396870554765289</v>
      </c>
      <c r="J91" s="419">
        <v>0.92849861657201105</v>
      </c>
      <c r="K91" s="419">
        <v>0.97764806378132119</v>
      </c>
      <c r="L91" s="420">
        <v>0.91606456571867789</v>
      </c>
      <c r="M91" s="421">
        <v>1.1633876421764524</v>
      </c>
      <c r="N91" s="421">
        <v>1.4689618266143418</v>
      </c>
      <c r="O91" s="421">
        <v>1.5482859941234084</v>
      </c>
      <c r="P91" s="422">
        <v>1.3770110936864726</v>
      </c>
      <c r="Q91" s="419">
        <v>1.9277753009362462</v>
      </c>
      <c r="R91" s="419"/>
      <c r="S91" s="419"/>
      <c r="T91" s="420">
        <v>0.44796684796684799</v>
      </c>
      <c r="U91" s="419">
        <v>0.92763182503958808</v>
      </c>
    </row>
    <row r="92" spans="2:21" s="333" customFormat="1" ht="16.2" x14ac:dyDescent="0.45">
      <c r="B92" s="295"/>
      <c r="C92" s="296" t="s">
        <v>46</v>
      </c>
      <c r="D92" s="297"/>
      <c r="E92" s="423">
        <v>0.88172830465031127</v>
      </c>
      <c r="F92" s="423">
        <v>0.95622469635627527</v>
      </c>
      <c r="G92" s="423">
        <v>1.1553398058252426</v>
      </c>
      <c r="H92" s="423">
        <v>0.99722348845882891</v>
      </c>
      <c r="I92" s="423">
        <v>0.82642116553450129</v>
      </c>
      <c r="J92" s="423">
        <v>0.92448979591836733</v>
      </c>
      <c r="K92" s="423">
        <v>0.97037880945599542</v>
      </c>
      <c r="L92" s="423">
        <v>0.91286711850482649</v>
      </c>
      <c r="M92" s="424">
        <v>1.1513380498308212</v>
      </c>
      <c r="N92" s="424">
        <v>1.4544157002676181</v>
      </c>
      <c r="O92" s="424">
        <v>1.5373309817754262</v>
      </c>
      <c r="P92" s="424">
        <v>1.3644973852411388</v>
      </c>
      <c r="Q92" s="423">
        <v>1.9205534478910957</v>
      </c>
      <c r="R92" s="423"/>
      <c r="S92" s="423"/>
      <c r="T92" s="423">
        <v>0.45107185911211278</v>
      </c>
      <c r="U92" s="423">
        <v>0.92535295884650048</v>
      </c>
    </row>
    <row r="93" spans="2:21" s="333" customFormat="1" ht="16.2" x14ac:dyDescent="0.45">
      <c r="B93" s="295"/>
      <c r="C93" s="309" t="s">
        <v>48</v>
      </c>
      <c r="D93" s="310"/>
      <c r="E93" s="429" t="s">
        <v>176</v>
      </c>
      <c r="F93" s="430">
        <v>7</v>
      </c>
      <c r="G93" s="430">
        <v>1.2758620689655173</v>
      </c>
      <c r="H93" s="430">
        <v>3.0303030303030303</v>
      </c>
      <c r="I93" s="430">
        <v>0.36666666666666664</v>
      </c>
      <c r="J93" s="430">
        <v>4.8571428571428568</v>
      </c>
      <c r="K93" s="430">
        <v>26.5</v>
      </c>
      <c r="L93" s="430">
        <v>2.5128205128205128</v>
      </c>
      <c r="M93" s="440">
        <v>20.75</v>
      </c>
      <c r="N93" s="440">
        <v>83</v>
      </c>
      <c r="O93" s="440">
        <v>29.5</v>
      </c>
      <c r="P93" s="440">
        <v>32.142857142857146</v>
      </c>
      <c r="Q93" s="441">
        <v>8.4</v>
      </c>
      <c r="R93" s="441"/>
      <c r="S93" s="441"/>
      <c r="T93" s="441">
        <v>0.18584070796460178</v>
      </c>
      <c r="U93" s="430">
        <v>1.5245901639344261</v>
      </c>
    </row>
    <row r="94" spans="2:21" s="333" customFormat="1" ht="16.2" x14ac:dyDescent="0.45">
      <c r="B94" s="291" t="s">
        <v>90</v>
      </c>
      <c r="C94" s="292"/>
      <c r="D94" s="292"/>
      <c r="E94" s="419">
        <v>0.52436323366555926</v>
      </c>
      <c r="F94" s="419">
        <v>0.99280155642023349</v>
      </c>
      <c r="G94" s="419">
        <v>0.88440667554008401</v>
      </c>
      <c r="H94" s="420">
        <v>0.73940977893934445</v>
      </c>
      <c r="I94" s="419">
        <v>0.69554432705558111</v>
      </c>
      <c r="J94" s="419">
        <v>0.91502674336461798</v>
      </c>
      <c r="K94" s="419">
        <v>0.69001179352263453</v>
      </c>
      <c r="L94" s="420">
        <v>0.76198258792469431</v>
      </c>
      <c r="M94" s="421">
        <v>0.60251382604323778</v>
      </c>
      <c r="N94" s="421">
        <v>0.76995105341562031</v>
      </c>
      <c r="O94" s="421">
        <v>0.75724598642387675</v>
      </c>
      <c r="P94" s="422">
        <v>0.70765790944661822</v>
      </c>
      <c r="Q94" s="419">
        <v>0.77464512971120902</v>
      </c>
      <c r="R94" s="419"/>
      <c r="S94" s="419"/>
      <c r="T94" s="420">
        <v>0.23743511267140757</v>
      </c>
      <c r="U94" s="419">
        <v>0.59994065135141816</v>
      </c>
    </row>
    <row r="95" spans="2:21" s="333" customFormat="1" ht="16.2" x14ac:dyDescent="0.45">
      <c r="B95" s="295"/>
      <c r="C95" s="296" t="s">
        <v>46</v>
      </c>
      <c r="D95" s="378"/>
      <c r="E95" s="423">
        <v>0.64525230602278894</v>
      </c>
      <c r="F95" s="423">
        <v>1.1066109223935197</v>
      </c>
      <c r="G95" s="423">
        <v>0.8723659642571352</v>
      </c>
      <c r="H95" s="423">
        <v>0.81411879259980524</v>
      </c>
      <c r="I95" s="423">
        <v>0.63004032258064513</v>
      </c>
      <c r="J95" s="423">
        <v>0.8918032786885246</v>
      </c>
      <c r="K95" s="423">
        <v>0.70932087511394715</v>
      </c>
      <c r="L95" s="423">
        <v>0.73996684529087475</v>
      </c>
      <c r="M95" s="424">
        <v>0.61174598582381023</v>
      </c>
      <c r="N95" s="424">
        <v>0.64938038793103448</v>
      </c>
      <c r="O95" s="424">
        <v>0.65762524218101304</v>
      </c>
      <c r="P95" s="424">
        <v>0.64007791123684088</v>
      </c>
      <c r="Q95" s="423">
        <v>0.6706608569353667</v>
      </c>
      <c r="R95" s="423"/>
      <c r="S95" s="423"/>
      <c r="T95" s="423">
        <v>0.21138366459390379</v>
      </c>
      <c r="U95" s="423">
        <v>0.58627128534295259</v>
      </c>
    </row>
    <row r="96" spans="2:21" s="333" customFormat="1" ht="16.2" x14ac:dyDescent="0.45">
      <c r="B96" s="295"/>
      <c r="C96" s="379" t="s">
        <v>49</v>
      </c>
      <c r="D96" s="380"/>
      <c r="E96" s="443">
        <v>0.2815426997245179</v>
      </c>
      <c r="F96" s="443">
        <v>0.65329883570504532</v>
      </c>
      <c r="G96" s="443">
        <v>1.0254237288135593</v>
      </c>
      <c r="H96" s="443">
        <v>0.59076433121019112</v>
      </c>
      <c r="I96" s="443">
        <v>0.60113728675873279</v>
      </c>
      <c r="J96" s="443">
        <v>0.60777683854606934</v>
      </c>
      <c r="K96" s="443">
        <v>0.43562874251497008</v>
      </c>
      <c r="L96" s="443">
        <v>0.54426666666666668</v>
      </c>
      <c r="M96" s="444">
        <v>0.39229559748427673</v>
      </c>
      <c r="N96" s="444">
        <v>0.33803863298662706</v>
      </c>
      <c r="O96" s="444">
        <v>0.46027846027846026</v>
      </c>
      <c r="P96" s="444">
        <v>0.39489450377702529</v>
      </c>
      <c r="Q96" s="443">
        <v>0.4063745019920319</v>
      </c>
      <c r="R96" s="443"/>
      <c r="S96" s="443"/>
      <c r="T96" s="443">
        <v>0.11985898942420682</v>
      </c>
      <c r="U96" s="430">
        <v>0.40308736869075068</v>
      </c>
    </row>
    <row r="97" spans="2:21" s="333" customFormat="1" ht="16.2" x14ac:dyDescent="0.45">
      <c r="B97" s="295"/>
      <c r="C97" s="309" t="s">
        <v>48</v>
      </c>
      <c r="D97" s="382"/>
      <c r="E97" s="445">
        <v>0.10669975186104218</v>
      </c>
      <c r="F97" s="445">
        <v>0.67222222222222228</v>
      </c>
      <c r="G97" s="445">
        <v>0.81450872359963267</v>
      </c>
      <c r="H97" s="445">
        <v>0.43875347115087937</v>
      </c>
      <c r="I97" s="445">
        <v>1.6611570247933884</v>
      </c>
      <c r="J97" s="445">
        <v>2.044806517311609</v>
      </c>
      <c r="K97" s="445">
        <v>0.87705817782656426</v>
      </c>
      <c r="L97" s="445">
        <v>1.4140037593984962</v>
      </c>
      <c r="M97" s="446">
        <v>0.71818181818181814</v>
      </c>
      <c r="N97" s="446">
        <v>3.121019108280255</v>
      </c>
      <c r="O97" s="446">
        <v>2.0551558752997603</v>
      </c>
      <c r="P97" s="446">
        <v>1.5325884543761639</v>
      </c>
      <c r="Q97" s="445">
        <v>2.6676217765042982</v>
      </c>
      <c r="R97" s="445"/>
      <c r="S97" s="445"/>
      <c r="T97" s="445">
        <v>0.65127667016439317</v>
      </c>
      <c r="U97" s="445">
        <v>0.9808733624454149</v>
      </c>
    </row>
    <row r="98" spans="2:21" s="333" customFormat="1" ht="6" customHeight="1" thickBot="1" x14ac:dyDescent="0.5">
      <c r="B98" s="328"/>
      <c r="C98" s="329"/>
      <c r="D98" s="329"/>
      <c r="E98" s="447"/>
      <c r="F98" s="447"/>
      <c r="G98" s="447"/>
      <c r="H98" s="447"/>
      <c r="I98" s="447"/>
      <c r="J98" s="447"/>
      <c r="K98" s="447"/>
      <c r="L98" s="447"/>
      <c r="M98" s="448"/>
      <c r="N98" s="448"/>
      <c r="O98" s="448"/>
      <c r="P98" s="448"/>
      <c r="Q98" s="447"/>
      <c r="R98" s="447"/>
      <c r="S98" s="447"/>
      <c r="T98" s="447"/>
      <c r="U98" s="447"/>
    </row>
    <row r="99" spans="2:21" s="357" customFormat="1" ht="16.8" thickBot="1" x14ac:dyDescent="0.5">
      <c r="B99" s="385" t="s">
        <v>173</v>
      </c>
      <c r="C99" s="512"/>
      <c r="D99" s="512"/>
      <c r="E99" s="522">
        <v>1.0966264296620667</v>
      </c>
      <c r="F99" s="522">
        <v>1.1845912600964525</v>
      </c>
      <c r="G99" s="522">
        <v>1.2342572599480015</v>
      </c>
      <c r="H99" s="522">
        <v>1.1775742782889653</v>
      </c>
      <c r="I99" s="522">
        <v>1.2189265950282553</v>
      </c>
      <c r="J99" s="522">
        <v>1.1828002601736376</v>
      </c>
      <c r="K99" s="522">
        <v>1.0551886353669719</v>
      </c>
      <c r="L99" s="522">
        <v>1.1495013510423326</v>
      </c>
      <c r="M99" s="523">
        <v>1.0791931171678006</v>
      </c>
      <c r="N99" s="523">
        <v>1.0902115613825982</v>
      </c>
      <c r="O99" s="523">
        <v>1.0894262137785453</v>
      </c>
      <c r="P99" s="523">
        <v>1.0863610345864165</v>
      </c>
      <c r="Q99" s="522">
        <v>1.042100738343279</v>
      </c>
      <c r="R99" s="522"/>
      <c r="S99" s="522"/>
      <c r="T99" s="522">
        <v>0.30970568453801151</v>
      </c>
      <c r="U99" s="524">
        <v>0.90509486833043307</v>
      </c>
    </row>
    <row r="100" spans="2:21" s="333" customFormat="1" ht="16.2" x14ac:dyDescent="0.45">
      <c r="B100" s="386"/>
      <c r="C100" s="387" t="s">
        <v>46</v>
      </c>
      <c r="D100" s="378"/>
      <c r="E100" s="423">
        <v>1.0581632184260097</v>
      </c>
      <c r="F100" s="423">
        <v>1.1193106697263042</v>
      </c>
      <c r="G100" s="423">
        <v>1.2072025783548974</v>
      </c>
      <c r="H100" s="449">
        <v>1.1356153512535874</v>
      </c>
      <c r="I100" s="423">
        <v>1.1676924023756039</v>
      </c>
      <c r="J100" s="423">
        <v>1.1399617760789369</v>
      </c>
      <c r="K100" s="423">
        <v>1.0208778840742825</v>
      </c>
      <c r="L100" s="423">
        <v>1.107235313477853</v>
      </c>
      <c r="M100" s="424">
        <v>1.0621301357287121</v>
      </c>
      <c r="N100" s="424">
        <v>1.0444300900116552</v>
      </c>
      <c r="O100" s="424">
        <v>1.067669374514062</v>
      </c>
      <c r="P100" s="424">
        <v>1.0582187670233687</v>
      </c>
      <c r="Q100" s="423">
        <v>1.092547837707202</v>
      </c>
      <c r="R100" s="423"/>
      <c r="S100" s="423"/>
      <c r="T100" s="423">
        <v>0.33220081092062831</v>
      </c>
      <c r="U100" s="450">
        <v>0.89558948017022455</v>
      </c>
    </row>
    <row r="101" spans="2:21" s="333" customFormat="1" ht="16.2" x14ac:dyDescent="0.45">
      <c r="B101" s="386"/>
      <c r="C101" s="391" t="s">
        <v>49</v>
      </c>
      <c r="D101" s="380"/>
      <c r="E101" s="443">
        <v>0.28190476190476188</v>
      </c>
      <c r="F101" s="443">
        <v>0.78176229508196726</v>
      </c>
      <c r="G101" s="443">
        <v>1.1918316831683169</v>
      </c>
      <c r="H101" s="451">
        <v>0.69927536231884058</v>
      </c>
      <c r="I101" s="443">
        <v>0.84034212401995723</v>
      </c>
      <c r="J101" s="443">
        <v>0.77471751412429379</v>
      </c>
      <c r="K101" s="443">
        <v>0.62829581993569128</v>
      </c>
      <c r="L101" s="443">
        <v>0.74371284865112031</v>
      </c>
      <c r="M101" s="444">
        <v>0.53771760154738879</v>
      </c>
      <c r="N101" s="444">
        <v>0.5256660168940871</v>
      </c>
      <c r="O101" s="444">
        <v>0.67010974822466107</v>
      </c>
      <c r="P101" s="444">
        <v>0.57792627721491696</v>
      </c>
      <c r="Q101" s="443">
        <v>0.52601568068424809</v>
      </c>
      <c r="R101" s="443"/>
      <c r="S101" s="443"/>
      <c r="T101" s="443">
        <v>0.16219780219780219</v>
      </c>
      <c r="U101" s="452">
        <v>0.54522048753766095</v>
      </c>
    </row>
    <row r="102" spans="2:21" s="333" customFormat="1" ht="16.8" thickBot="1" x14ac:dyDescent="0.5">
      <c r="B102" s="394"/>
      <c r="C102" s="395" t="s">
        <v>47</v>
      </c>
      <c r="D102" s="396"/>
      <c r="E102" s="453">
        <v>3.1838853188334157</v>
      </c>
      <c r="F102" s="453">
        <v>6.90964590964591</v>
      </c>
      <c r="G102" s="453">
        <v>1.9119318181818181</v>
      </c>
      <c r="H102" s="454">
        <v>2.959761081420937</v>
      </c>
      <c r="I102" s="453">
        <v>3.2414876898899947</v>
      </c>
      <c r="J102" s="453">
        <v>3.1006080707573247</v>
      </c>
      <c r="K102" s="453">
        <v>2.2412079510703364</v>
      </c>
      <c r="L102" s="453">
        <v>2.7881275655194191</v>
      </c>
      <c r="M102" s="455">
        <v>1.3910461397898584</v>
      </c>
      <c r="N102" s="455">
        <v>1.6201232032854209</v>
      </c>
      <c r="O102" s="455">
        <v>1.4037902891132936</v>
      </c>
      <c r="P102" s="455">
        <v>1.4779970353900316</v>
      </c>
      <c r="Q102" s="453">
        <v>0.65786967759488502</v>
      </c>
      <c r="R102" s="453"/>
      <c r="S102" s="453"/>
      <c r="T102" s="453">
        <v>0.15986248388483026</v>
      </c>
      <c r="U102" s="456">
        <v>1.1347795769737352</v>
      </c>
    </row>
    <row r="103" spans="2:21" s="333" customFormat="1" ht="16.2" x14ac:dyDescent="0.45">
      <c r="C103" s="341"/>
    </row>
    <row r="104" spans="2:21" s="333" customFormat="1" ht="16.2" x14ac:dyDescent="0.45">
      <c r="B104" s="572" t="s">
        <v>145</v>
      </c>
    </row>
    <row r="105" spans="2:21" s="333" customFormat="1" ht="16.2" x14ac:dyDescent="0.45">
      <c r="B105" s="107" t="s">
        <v>147</v>
      </c>
    </row>
  </sheetData>
  <mergeCells count="17">
    <mergeCell ref="E72:U72"/>
    <mergeCell ref="H73:H74"/>
    <mergeCell ref="L73:L74"/>
    <mergeCell ref="P73:P74"/>
    <mergeCell ref="T73:T74"/>
    <mergeCell ref="B37:C37"/>
    <mergeCell ref="E38:U38"/>
    <mergeCell ref="H39:H40"/>
    <mergeCell ref="L39:L40"/>
    <mergeCell ref="P39:P40"/>
    <mergeCell ref="T39:T40"/>
    <mergeCell ref="B3:C3"/>
    <mergeCell ref="E4:U4"/>
    <mergeCell ref="H5:H6"/>
    <mergeCell ref="L5:L6"/>
    <mergeCell ref="P5:P6"/>
    <mergeCell ref="T5:T6"/>
  </mergeCells>
  <phoneticPr fontId="2"/>
  <pageMargins left="0.7" right="0.7" top="0.75" bottom="0.75" header="0.3" footer="0.3"/>
  <pageSetup paperSize="8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3BFF-BAD0-4671-8C31-89F485DF2CDF}">
  <dimension ref="B2:U42"/>
  <sheetViews>
    <sheetView showGridLines="0" zoomScale="70" zoomScaleNormal="70" workbookViewId="0">
      <selection activeCell="F2" sqref="F2"/>
    </sheetView>
  </sheetViews>
  <sheetFormatPr defaultColWidth="8.59765625" defaultRowHeight="15" x14ac:dyDescent="0.45"/>
  <cols>
    <col min="1" max="2" width="8.59765625" style="105" customWidth="1"/>
    <col min="3" max="3" width="16.19921875" style="105" customWidth="1"/>
    <col min="4" max="6" width="13.59765625" style="105" customWidth="1"/>
    <col min="7" max="7" width="14.5" style="105" customWidth="1"/>
    <col min="8" max="10" width="13.59765625" style="105" customWidth="1"/>
    <col min="11" max="11" width="14.5" style="105" customWidth="1"/>
    <col min="12" max="14" width="13.59765625" style="105" customWidth="1"/>
    <col min="15" max="15" width="14.5" style="105" customWidth="1"/>
    <col min="16" max="18" width="13.59765625" style="105" customWidth="1"/>
    <col min="19" max="20" width="14.5" style="105" customWidth="1"/>
    <col min="21" max="16384" width="8.59765625" style="105"/>
  </cols>
  <sheetData>
    <row r="2" spans="2:20" s="170" customFormat="1" ht="18.600000000000001" customHeight="1" x14ac:dyDescent="0.45">
      <c r="B2" s="175" t="s">
        <v>136</v>
      </c>
      <c r="C2" s="172"/>
      <c r="T2" s="171"/>
    </row>
    <row r="3" spans="2:20" s="170" customFormat="1" ht="16.05" customHeight="1" x14ac:dyDescent="0.3">
      <c r="B3" s="597">
        <f>D4</f>
        <v>2024</v>
      </c>
      <c r="C3" s="597"/>
      <c r="T3" s="509" t="s">
        <v>104</v>
      </c>
    </row>
    <row r="4" spans="2:20" s="170" customFormat="1" ht="16.05" customHeight="1" x14ac:dyDescent="0.45">
      <c r="B4" s="178"/>
      <c r="C4" s="179"/>
      <c r="D4" s="601">
        <v>2024</v>
      </c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3"/>
    </row>
    <row r="5" spans="2:20" s="170" customFormat="1" ht="16.05" customHeight="1" x14ac:dyDescent="0.45">
      <c r="B5" s="180"/>
      <c r="C5" s="181"/>
      <c r="D5" s="147"/>
      <c r="E5" s="148"/>
      <c r="F5" s="148"/>
      <c r="G5" s="593" t="s">
        <v>165</v>
      </c>
      <c r="H5" s="134"/>
      <c r="I5" s="134"/>
      <c r="J5" s="134"/>
      <c r="K5" s="593" t="s">
        <v>166</v>
      </c>
      <c r="L5" s="134"/>
      <c r="M5" s="134"/>
      <c r="N5" s="134"/>
      <c r="O5" s="593" t="s">
        <v>167</v>
      </c>
      <c r="P5" s="134"/>
      <c r="Q5" s="134"/>
      <c r="R5" s="134"/>
      <c r="S5" s="593" t="s">
        <v>168</v>
      </c>
      <c r="T5" s="135">
        <f>D4</f>
        <v>2024</v>
      </c>
    </row>
    <row r="6" spans="2:20" s="170" customFormat="1" ht="16.05" customHeight="1" x14ac:dyDescent="0.45">
      <c r="B6" s="176"/>
      <c r="C6" s="177"/>
      <c r="D6" s="136" t="s">
        <v>152</v>
      </c>
      <c r="E6" s="136" t="s">
        <v>153</v>
      </c>
      <c r="F6" s="136" t="s">
        <v>154</v>
      </c>
      <c r="G6" s="594"/>
      <c r="H6" s="137" t="s">
        <v>155</v>
      </c>
      <c r="I6" s="136" t="s">
        <v>102</v>
      </c>
      <c r="J6" s="136" t="s">
        <v>156</v>
      </c>
      <c r="K6" s="594"/>
      <c r="L6" s="137" t="s">
        <v>157</v>
      </c>
      <c r="M6" s="136" t="s">
        <v>158</v>
      </c>
      <c r="N6" s="136" t="s">
        <v>159</v>
      </c>
      <c r="O6" s="594"/>
      <c r="P6" s="137" t="s">
        <v>160</v>
      </c>
      <c r="Q6" s="136" t="s">
        <v>161</v>
      </c>
      <c r="R6" s="213" t="s">
        <v>162</v>
      </c>
      <c r="S6" s="594"/>
      <c r="T6" s="137" t="s">
        <v>39</v>
      </c>
    </row>
    <row r="7" spans="2:20" s="460" customFormat="1" ht="16.05" customHeight="1" x14ac:dyDescent="0.45">
      <c r="B7" s="492" t="s">
        <v>59</v>
      </c>
      <c r="C7" s="493"/>
      <c r="D7" s="457">
        <v>270</v>
      </c>
      <c r="E7" s="457">
        <v>613</v>
      </c>
      <c r="F7" s="457">
        <v>632</v>
      </c>
      <c r="G7" s="457">
        <v>1515</v>
      </c>
      <c r="H7" s="457">
        <v>551</v>
      </c>
      <c r="I7" s="457">
        <v>62</v>
      </c>
      <c r="J7" s="457">
        <v>583</v>
      </c>
      <c r="K7" s="457">
        <v>1196</v>
      </c>
      <c r="L7" s="457">
        <v>472</v>
      </c>
      <c r="M7" s="457">
        <v>754</v>
      </c>
      <c r="N7" s="457">
        <v>278</v>
      </c>
      <c r="O7" s="457">
        <v>1504</v>
      </c>
      <c r="P7" s="457">
        <v>667</v>
      </c>
      <c r="Q7" s="458">
        <v>314</v>
      </c>
      <c r="R7" s="457">
        <v>400</v>
      </c>
      <c r="S7" s="457">
        <v>1381</v>
      </c>
      <c r="T7" s="459">
        <v>5596</v>
      </c>
    </row>
    <row r="8" spans="2:20" s="460" customFormat="1" ht="16.05" customHeight="1" x14ac:dyDescent="0.45">
      <c r="B8" s="494"/>
      <c r="C8" s="461" t="s">
        <v>132</v>
      </c>
      <c r="D8" s="462">
        <v>270</v>
      </c>
      <c r="E8" s="462">
        <v>613</v>
      </c>
      <c r="F8" s="462">
        <v>632</v>
      </c>
      <c r="G8" s="462">
        <v>1515</v>
      </c>
      <c r="H8" s="462">
        <v>551</v>
      </c>
      <c r="I8" s="462">
        <v>12</v>
      </c>
      <c r="J8" s="462">
        <v>533</v>
      </c>
      <c r="K8" s="462">
        <v>1096</v>
      </c>
      <c r="L8" s="462">
        <v>472</v>
      </c>
      <c r="M8" s="462">
        <v>730</v>
      </c>
      <c r="N8" s="462">
        <v>241</v>
      </c>
      <c r="O8" s="462">
        <v>1443</v>
      </c>
      <c r="P8" s="462">
        <v>611</v>
      </c>
      <c r="Q8" s="462">
        <v>314</v>
      </c>
      <c r="R8" s="462">
        <v>400</v>
      </c>
      <c r="S8" s="462">
        <v>1325</v>
      </c>
      <c r="T8" s="463">
        <v>5379</v>
      </c>
    </row>
    <row r="9" spans="2:20" s="460" customFormat="1" ht="16.05" customHeight="1" x14ac:dyDescent="0.45">
      <c r="B9" s="495" t="s">
        <v>113</v>
      </c>
      <c r="C9" s="496"/>
      <c r="D9" s="464">
        <v>4178</v>
      </c>
      <c r="E9" s="464">
        <v>6690</v>
      </c>
      <c r="F9" s="464">
        <v>5748</v>
      </c>
      <c r="G9" s="464">
        <v>16616</v>
      </c>
      <c r="H9" s="464">
        <v>4529</v>
      </c>
      <c r="I9" s="464">
        <v>3685</v>
      </c>
      <c r="J9" s="464">
        <v>2587</v>
      </c>
      <c r="K9" s="464">
        <v>10801</v>
      </c>
      <c r="L9" s="464">
        <v>1839</v>
      </c>
      <c r="M9" s="464">
        <v>2603</v>
      </c>
      <c r="N9" s="464">
        <v>3043</v>
      </c>
      <c r="O9" s="464">
        <v>7485</v>
      </c>
      <c r="P9" s="464">
        <v>4327</v>
      </c>
      <c r="Q9" s="464">
        <v>5895</v>
      </c>
      <c r="R9" s="464">
        <v>7701</v>
      </c>
      <c r="S9" s="464">
        <v>17923</v>
      </c>
      <c r="T9" s="459">
        <v>52825</v>
      </c>
    </row>
    <row r="10" spans="2:20" s="460" customFormat="1" ht="16.05" customHeight="1" x14ac:dyDescent="0.45">
      <c r="B10" s="495" t="s">
        <v>133</v>
      </c>
      <c r="C10" s="496"/>
      <c r="D10" s="464">
        <v>368</v>
      </c>
      <c r="E10" s="464">
        <v>365</v>
      </c>
      <c r="F10" s="464">
        <v>263</v>
      </c>
      <c r="G10" s="464">
        <v>996</v>
      </c>
      <c r="H10" s="464">
        <v>327</v>
      </c>
      <c r="I10" s="464">
        <v>521</v>
      </c>
      <c r="J10" s="464">
        <v>433</v>
      </c>
      <c r="K10" s="464">
        <v>1281</v>
      </c>
      <c r="L10" s="464">
        <v>381</v>
      </c>
      <c r="M10" s="464">
        <v>284</v>
      </c>
      <c r="N10" s="464">
        <v>346</v>
      </c>
      <c r="O10" s="464">
        <v>1011</v>
      </c>
      <c r="P10" s="464">
        <v>472</v>
      </c>
      <c r="Q10" s="464">
        <v>433</v>
      </c>
      <c r="R10" s="464">
        <v>306</v>
      </c>
      <c r="S10" s="464">
        <v>1211</v>
      </c>
      <c r="T10" s="459">
        <v>4499</v>
      </c>
    </row>
    <row r="11" spans="2:20" s="460" customFormat="1" ht="16.05" customHeight="1" x14ac:dyDescent="0.45">
      <c r="B11" s="492" t="s">
        <v>134</v>
      </c>
      <c r="C11" s="496"/>
      <c r="D11" s="464">
        <v>1973</v>
      </c>
      <c r="E11" s="464">
        <v>2269</v>
      </c>
      <c r="F11" s="464">
        <v>1819</v>
      </c>
      <c r="G11" s="464">
        <v>6061</v>
      </c>
      <c r="H11" s="464">
        <v>1168</v>
      </c>
      <c r="I11" s="464">
        <v>2358</v>
      </c>
      <c r="J11" s="464">
        <v>2697</v>
      </c>
      <c r="K11" s="464">
        <v>6223</v>
      </c>
      <c r="L11" s="464">
        <v>2200</v>
      </c>
      <c r="M11" s="464">
        <v>2115</v>
      </c>
      <c r="N11" s="464">
        <v>2526</v>
      </c>
      <c r="O11" s="464">
        <v>6841</v>
      </c>
      <c r="P11" s="464">
        <v>3454</v>
      </c>
      <c r="Q11" s="464">
        <v>2933</v>
      </c>
      <c r="R11" s="464">
        <v>1731</v>
      </c>
      <c r="S11" s="464">
        <v>8118</v>
      </c>
      <c r="T11" s="459">
        <v>27243</v>
      </c>
    </row>
    <row r="12" spans="2:20" s="460" customFormat="1" ht="7.05" customHeight="1" thickBot="1" x14ac:dyDescent="0.5">
      <c r="B12" s="497"/>
      <c r="C12" s="497"/>
      <c r="D12" s="466"/>
      <c r="E12" s="466"/>
      <c r="F12" s="466"/>
      <c r="G12" s="466"/>
      <c r="H12" s="466"/>
      <c r="I12" s="466"/>
      <c r="J12" s="466"/>
      <c r="K12" s="466"/>
      <c r="L12" s="466"/>
      <c r="M12" s="466"/>
      <c r="N12" s="466"/>
      <c r="O12" s="466"/>
      <c r="P12" s="466"/>
      <c r="Q12" s="466"/>
      <c r="R12" s="466"/>
      <c r="S12" s="466"/>
      <c r="T12" s="467"/>
    </row>
    <row r="13" spans="2:20" s="460" customFormat="1" ht="16.05" customHeight="1" thickBot="1" x14ac:dyDescent="0.5">
      <c r="B13" s="468" t="s">
        <v>135</v>
      </c>
      <c r="C13" s="469"/>
      <c r="D13" s="470">
        <v>6789</v>
      </c>
      <c r="E13" s="470">
        <v>9937</v>
      </c>
      <c r="F13" s="470">
        <v>8462</v>
      </c>
      <c r="G13" s="470">
        <v>25188</v>
      </c>
      <c r="H13" s="470">
        <v>6575</v>
      </c>
      <c r="I13" s="470">
        <v>6626</v>
      </c>
      <c r="J13" s="470">
        <v>6300</v>
      </c>
      <c r="K13" s="470">
        <v>19501</v>
      </c>
      <c r="L13" s="470">
        <v>4892</v>
      </c>
      <c r="M13" s="470">
        <v>5756</v>
      </c>
      <c r="N13" s="470">
        <v>6193</v>
      </c>
      <c r="O13" s="470">
        <v>16841</v>
      </c>
      <c r="P13" s="470">
        <v>8920</v>
      </c>
      <c r="Q13" s="470">
        <v>9575</v>
      </c>
      <c r="R13" s="471">
        <v>10138</v>
      </c>
      <c r="S13" s="471">
        <v>28633</v>
      </c>
      <c r="T13" s="472">
        <v>90163</v>
      </c>
    </row>
    <row r="14" spans="2:20" s="170" customFormat="1" ht="16.05" customHeight="1" x14ac:dyDescent="0.45">
      <c r="B14" s="173"/>
      <c r="C14" s="173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T14" s="171"/>
    </row>
    <row r="15" spans="2:20" s="170" customFormat="1" ht="16.05" customHeight="1" x14ac:dyDescent="0.45">
      <c r="B15" s="597">
        <f>D16</f>
        <v>2025</v>
      </c>
      <c r="C15" s="597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T15" s="171"/>
    </row>
    <row r="16" spans="2:20" s="170" customFormat="1" ht="16.05" customHeight="1" x14ac:dyDescent="0.45">
      <c r="B16" s="498"/>
      <c r="C16" s="499"/>
      <c r="D16" s="601">
        <v>2025</v>
      </c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2"/>
      <c r="P16" s="602"/>
      <c r="Q16" s="602"/>
      <c r="R16" s="602"/>
      <c r="S16" s="602"/>
      <c r="T16" s="603"/>
    </row>
    <row r="17" spans="2:21" s="170" customFormat="1" ht="16.05" customHeight="1" x14ac:dyDescent="0.45">
      <c r="B17" s="500"/>
      <c r="C17" s="501"/>
      <c r="D17" s="138"/>
      <c r="E17" s="139"/>
      <c r="F17" s="139"/>
      <c r="G17" s="593" t="s">
        <v>169</v>
      </c>
      <c r="H17" s="139"/>
      <c r="I17" s="139"/>
      <c r="J17" s="139"/>
      <c r="K17" s="593" t="s">
        <v>170</v>
      </c>
      <c r="L17" s="139"/>
      <c r="M17" s="139"/>
      <c r="N17" s="139"/>
      <c r="O17" s="593" t="s">
        <v>171</v>
      </c>
      <c r="P17" s="139"/>
      <c r="Q17" s="139"/>
      <c r="R17" s="139"/>
      <c r="S17" s="593" t="s">
        <v>172</v>
      </c>
      <c r="T17" s="135">
        <f>D16</f>
        <v>2025</v>
      </c>
    </row>
    <row r="18" spans="2:21" s="170" customFormat="1" ht="16.05" customHeight="1" x14ac:dyDescent="0.45">
      <c r="B18" s="176"/>
      <c r="C18" s="177"/>
      <c r="D18" s="140" t="str">
        <f>D6</f>
        <v>1月/Jan.</v>
      </c>
      <c r="E18" s="140" t="str">
        <f t="shared" ref="E18:F18" si="0">E6</f>
        <v>2月/Feb.</v>
      </c>
      <c r="F18" s="140" t="str">
        <f t="shared" si="0"/>
        <v>3月/Mar.</v>
      </c>
      <c r="G18" s="594"/>
      <c r="H18" s="140" t="str">
        <f t="shared" ref="H18:J18" si="1">H6</f>
        <v>4月/Apr.</v>
      </c>
      <c r="I18" s="140" t="str">
        <f t="shared" si="1"/>
        <v>5月/May</v>
      </c>
      <c r="J18" s="140" t="str">
        <f t="shared" si="1"/>
        <v>6月/Jun.</v>
      </c>
      <c r="K18" s="594"/>
      <c r="L18" s="140" t="str">
        <f t="shared" ref="L18:N18" si="2">L6</f>
        <v>7月/Jul.</v>
      </c>
      <c r="M18" s="140" t="str">
        <f t="shared" si="2"/>
        <v>8月/Aug.</v>
      </c>
      <c r="N18" s="140" t="str">
        <f t="shared" si="2"/>
        <v>9月/Sep.</v>
      </c>
      <c r="O18" s="594"/>
      <c r="P18" s="140" t="str">
        <f t="shared" ref="P18:R18" si="3">P6</f>
        <v>10月/Oct.</v>
      </c>
      <c r="Q18" s="140" t="str">
        <f t="shared" si="3"/>
        <v>11月/Nov.</v>
      </c>
      <c r="R18" s="140" t="str">
        <f t="shared" si="3"/>
        <v>12月/Dec.</v>
      </c>
      <c r="S18" s="594"/>
      <c r="T18" s="141" t="s">
        <v>39</v>
      </c>
    </row>
    <row r="19" spans="2:21" s="460" customFormat="1" ht="16.05" customHeight="1" x14ac:dyDescent="0.45">
      <c r="B19" s="492" t="s">
        <v>59</v>
      </c>
      <c r="C19" s="493"/>
      <c r="D19" s="473">
        <v>542</v>
      </c>
      <c r="E19" s="473">
        <v>522</v>
      </c>
      <c r="F19" s="473">
        <v>2914</v>
      </c>
      <c r="G19" s="473">
        <v>3978</v>
      </c>
      <c r="H19" s="473">
        <v>3419</v>
      </c>
      <c r="I19" s="473">
        <v>3262</v>
      </c>
      <c r="J19" s="473">
        <v>2754</v>
      </c>
      <c r="K19" s="473">
        <v>9435</v>
      </c>
      <c r="L19" s="473">
        <v>1304</v>
      </c>
      <c r="M19" s="473">
        <v>2037</v>
      </c>
      <c r="N19" s="473">
        <v>555</v>
      </c>
      <c r="O19" s="473">
        <v>3896</v>
      </c>
      <c r="P19" s="473">
        <v>1004</v>
      </c>
      <c r="Q19" s="474"/>
      <c r="R19" s="475"/>
      <c r="S19" s="473">
        <v>1004</v>
      </c>
      <c r="T19" s="459">
        <v>18313</v>
      </c>
    </row>
    <row r="20" spans="2:21" s="460" customFormat="1" ht="16.05" customHeight="1" x14ac:dyDescent="0.45">
      <c r="B20" s="494"/>
      <c r="C20" s="461" t="s">
        <v>132</v>
      </c>
      <c r="D20" s="476">
        <v>542</v>
      </c>
      <c r="E20" s="476">
        <v>522</v>
      </c>
      <c r="F20" s="476">
        <v>2794</v>
      </c>
      <c r="G20" s="476">
        <v>3858</v>
      </c>
      <c r="H20" s="476">
        <v>3419</v>
      </c>
      <c r="I20" s="476">
        <v>2991</v>
      </c>
      <c r="J20" s="476">
        <v>2538</v>
      </c>
      <c r="K20" s="476">
        <v>8948</v>
      </c>
      <c r="L20" s="476">
        <v>1304</v>
      </c>
      <c r="M20" s="476">
        <v>1727</v>
      </c>
      <c r="N20" s="476">
        <v>491</v>
      </c>
      <c r="O20" s="476">
        <v>3522</v>
      </c>
      <c r="P20" s="476">
        <v>804</v>
      </c>
      <c r="Q20" s="476"/>
      <c r="R20" s="476"/>
      <c r="S20" s="476">
        <v>804</v>
      </c>
      <c r="T20" s="463">
        <v>17132</v>
      </c>
    </row>
    <row r="21" spans="2:21" s="460" customFormat="1" ht="16.05" customHeight="1" x14ac:dyDescent="0.45">
      <c r="B21" s="495" t="s">
        <v>113</v>
      </c>
      <c r="C21" s="496"/>
      <c r="D21" s="475">
        <v>5139</v>
      </c>
      <c r="E21" s="475">
        <v>1221</v>
      </c>
      <c r="F21" s="475">
        <v>1998</v>
      </c>
      <c r="G21" s="475">
        <v>8358</v>
      </c>
      <c r="H21" s="475">
        <v>3658</v>
      </c>
      <c r="I21" s="475">
        <v>3596</v>
      </c>
      <c r="J21" s="475">
        <v>5325</v>
      </c>
      <c r="K21" s="475">
        <v>12579</v>
      </c>
      <c r="L21" s="475">
        <v>3640</v>
      </c>
      <c r="M21" s="475">
        <v>2551</v>
      </c>
      <c r="N21" s="475">
        <v>2134</v>
      </c>
      <c r="O21" s="475">
        <v>8325</v>
      </c>
      <c r="P21" s="475">
        <v>3478</v>
      </c>
      <c r="Q21" s="475"/>
      <c r="R21" s="475"/>
      <c r="S21" s="475">
        <v>3478</v>
      </c>
      <c r="T21" s="459">
        <v>32740</v>
      </c>
    </row>
    <row r="22" spans="2:21" s="460" customFormat="1" ht="16.05" customHeight="1" x14ac:dyDescent="0.45">
      <c r="B22" s="495" t="s">
        <v>133</v>
      </c>
      <c r="C22" s="496"/>
      <c r="D22" s="475">
        <v>223</v>
      </c>
      <c r="E22" s="475">
        <v>789</v>
      </c>
      <c r="F22" s="475">
        <v>466</v>
      </c>
      <c r="G22" s="475">
        <v>1478</v>
      </c>
      <c r="H22" s="475">
        <v>316</v>
      </c>
      <c r="I22" s="475">
        <v>190</v>
      </c>
      <c r="J22" s="475">
        <v>468</v>
      </c>
      <c r="K22" s="475">
        <v>974</v>
      </c>
      <c r="L22" s="475">
        <v>509</v>
      </c>
      <c r="M22" s="475">
        <v>277</v>
      </c>
      <c r="N22" s="475">
        <v>1014</v>
      </c>
      <c r="O22" s="475">
        <v>1800</v>
      </c>
      <c r="P22" s="475">
        <v>843</v>
      </c>
      <c r="Q22" s="475"/>
      <c r="R22" s="475"/>
      <c r="S22" s="475">
        <v>843</v>
      </c>
      <c r="T22" s="459">
        <v>5095</v>
      </c>
    </row>
    <row r="23" spans="2:21" s="460" customFormat="1" ht="16.05" customHeight="1" x14ac:dyDescent="0.45">
      <c r="B23" s="492" t="s">
        <v>134</v>
      </c>
      <c r="C23" s="496"/>
      <c r="D23" s="475">
        <v>2880</v>
      </c>
      <c r="E23" s="475">
        <v>1970</v>
      </c>
      <c r="F23" s="475">
        <v>1201</v>
      </c>
      <c r="G23" s="475">
        <v>6051</v>
      </c>
      <c r="H23" s="475">
        <v>1799</v>
      </c>
      <c r="I23" s="475">
        <v>3827</v>
      </c>
      <c r="J23" s="475">
        <v>3465</v>
      </c>
      <c r="K23" s="475">
        <v>9091</v>
      </c>
      <c r="L23" s="475">
        <v>3905</v>
      </c>
      <c r="M23" s="475">
        <v>2442</v>
      </c>
      <c r="N23" s="475">
        <v>3825</v>
      </c>
      <c r="O23" s="475">
        <v>10172</v>
      </c>
      <c r="P23" s="475">
        <v>4029</v>
      </c>
      <c r="Q23" s="475"/>
      <c r="R23" s="475"/>
      <c r="S23" s="475">
        <v>4029</v>
      </c>
      <c r="T23" s="459">
        <v>29343</v>
      </c>
    </row>
    <row r="24" spans="2:21" s="460" customFormat="1" ht="7.05" customHeight="1" thickBot="1" x14ac:dyDescent="0.5">
      <c r="B24" s="497"/>
      <c r="C24" s="497"/>
      <c r="D24" s="477"/>
      <c r="E24" s="477"/>
      <c r="F24" s="477"/>
      <c r="G24" s="478"/>
      <c r="H24" s="477"/>
      <c r="I24" s="477"/>
      <c r="J24" s="477"/>
      <c r="K24" s="478"/>
      <c r="L24" s="477"/>
      <c r="M24" s="477"/>
      <c r="N24" s="477"/>
      <c r="O24" s="478"/>
      <c r="P24" s="477"/>
      <c r="Q24" s="477"/>
      <c r="R24" s="477"/>
      <c r="S24" s="478"/>
      <c r="T24" s="467"/>
    </row>
    <row r="25" spans="2:21" s="460" customFormat="1" ht="16.05" customHeight="1" thickBot="1" x14ac:dyDescent="0.5">
      <c r="B25" s="468" t="s">
        <v>135</v>
      </c>
      <c r="C25" s="469"/>
      <c r="D25" s="479">
        <v>8784</v>
      </c>
      <c r="E25" s="479">
        <v>4502</v>
      </c>
      <c r="F25" s="479">
        <v>6579</v>
      </c>
      <c r="G25" s="479">
        <v>19865</v>
      </c>
      <c r="H25" s="479">
        <v>9192</v>
      </c>
      <c r="I25" s="479">
        <v>10875</v>
      </c>
      <c r="J25" s="479">
        <v>12012</v>
      </c>
      <c r="K25" s="479">
        <v>32079</v>
      </c>
      <c r="L25" s="479">
        <v>9358</v>
      </c>
      <c r="M25" s="479">
        <v>7307</v>
      </c>
      <c r="N25" s="479">
        <v>7528</v>
      </c>
      <c r="O25" s="479">
        <v>24193</v>
      </c>
      <c r="P25" s="479">
        <v>9354</v>
      </c>
      <c r="Q25" s="479">
        <v>0</v>
      </c>
      <c r="R25" s="479">
        <v>0</v>
      </c>
      <c r="S25" s="479">
        <v>9354</v>
      </c>
      <c r="T25" s="472">
        <v>85491</v>
      </c>
    </row>
    <row r="26" spans="2:21" ht="16.05" customHeight="1" x14ac:dyDescent="0.45">
      <c r="B26" s="502"/>
      <c r="C26" s="172"/>
    </row>
    <row r="27" spans="2:21" ht="16.05" customHeight="1" x14ac:dyDescent="0.45">
      <c r="B27" s="357" t="s">
        <v>0</v>
      </c>
      <c r="C27" s="201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 spans="2:21" s="358" customFormat="1" ht="16.05" customHeight="1" x14ac:dyDescent="0.45">
      <c r="B28" s="503"/>
      <c r="C28" s="504"/>
      <c r="D28" s="604" t="s">
        <v>45</v>
      </c>
      <c r="E28" s="605"/>
      <c r="F28" s="605"/>
      <c r="G28" s="605"/>
      <c r="H28" s="605"/>
      <c r="I28" s="605"/>
      <c r="J28" s="605"/>
      <c r="K28" s="605"/>
      <c r="L28" s="605"/>
      <c r="M28" s="605"/>
      <c r="N28" s="605"/>
      <c r="O28" s="605"/>
      <c r="P28" s="605"/>
      <c r="Q28" s="605"/>
      <c r="R28" s="605"/>
      <c r="S28" s="605"/>
      <c r="T28" s="606"/>
    </row>
    <row r="29" spans="2:21" s="358" customFormat="1" ht="16.05" customHeight="1" x14ac:dyDescent="0.45">
      <c r="B29" s="505"/>
      <c r="C29" s="506"/>
      <c r="D29" s="142"/>
      <c r="E29" s="143"/>
      <c r="F29" s="143"/>
      <c r="G29" s="609" t="s">
        <v>40</v>
      </c>
      <c r="H29" s="142"/>
      <c r="I29" s="143"/>
      <c r="J29" s="143"/>
      <c r="K29" s="609" t="s">
        <v>41</v>
      </c>
      <c r="L29" s="142"/>
      <c r="M29" s="143"/>
      <c r="N29" s="143"/>
      <c r="O29" s="609" t="s">
        <v>42</v>
      </c>
      <c r="P29" s="142"/>
      <c r="Q29" s="143"/>
      <c r="R29" s="143"/>
      <c r="S29" s="609" t="s">
        <v>43</v>
      </c>
      <c r="T29" s="144"/>
    </row>
    <row r="30" spans="2:21" s="358" customFormat="1" ht="16.05" customHeight="1" x14ac:dyDescent="0.45">
      <c r="B30" s="507"/>
      <c r="C30" s="508"/>
      <c r="D30" s="140" t="str">
        <f>D6</f>
        <v>1月/Jan.</v>
      </c>
      <c r="E30" s="140" t="str">
        <f t="shared" ref="E30:F30" si="4">E6</f>
        <v>2月/Feb.</v>
      </c>
      <c r="F30" s="140" t="str">
        <f t="shared" si="4"/>
        <v>3月/Mar.</v>
      </c>
      <c r="G30" s="610"/>
      <c r="H30" s="140" t="str">
        <f>H6</f>
        <v>4月/Apr.</v>
      </c>
      <c r="I30" s="140" t="str">
        <f t="shared" ref="I30:J30" si="5">I6</f>
        <v>5月/May</v>
      </c>
      <c r="J30" s="140" t="str">
        <f t="shared" si="5"/>
        <v>6月/Jun.</v>
      </c>
      <c r="K30" s="610"/>
      <c r="L30" s="140" t="str">
        <f>L6</f>
        <v>7月/Jul.</v>
      </c>
      <c r="M30" s="140" t="str">
        <f t="shared" ref="M30:N30" si="6">M6</f>
        <v>8月/Aug.</v>
      </c>
      <c r="N30" s="140" t="str">
        <f t="shared" si="6"/>
        <v>9月/Sep.</v>
      </c>
      <c r="O30" s="610"/>
      <c r="P30" s="140" t="str">
        <f>P6</f>
        <v>10月/Oct.</v>
      </c>
      <c r="Q30" s="140" t="str">
        <f t="shared" ref="Q30:R30" si="7">Q6</f>
        <v>11月/Nov.</v>
      </c>
      <c r="R30" s="140" t="str">
        <f t="shared" si="7"/>
        <v>12月/Dec.</v>
      </c>
      <c r="S30" s="610"/>
      <c r="T30" s="188" t="s">
        <v>39</v>
      </c>
    </row>
    <row r="31" spans="2:21" s="358" customFormat="1" ht="16.05" customHeight="1" x14ac:dyDescent="0.45">
      <c r="B31" s="492" t="s">
        <v>59</v>
      </c>
      <c r="C31" s="493"/>
      <c r="D31" s="480">
        <v>2.0074074074074075</v>
      </c>
      <c r="E31" s="480">
        <v>0.85154975530179444</v>
      </c>
      <c r="F31" s="480">
        <v>4.6107594936708862</v>
      </c>
      <c r="G31" s="480">
        <v>2.6257425742574259</v>
      </c>
      <c r="H31" s="480">
        <v>6.2050816696914701</v>
      </c>
      <c r="I31" s="480">
        <v>52.612903225806448</v>
      </c>
      <c r="J31" s="480">
        <v>4.7238421955403087</v>
      </c>
      <c r="K31" s="480">
        <v>7.8887959866220738</v>
      </c>
      <c r="L31" s="480">
        <v>2.7627118644067798</v>
      </c>
      <c r="M31" s="480">
        <v>2.7015915119363396</v>
      </c>
      <c r="N31" s="480">
        <v>1.9964028776978417</v>
      </c>
      <c r="O31" s="480">
        <v>2.5904255319148937</v>
      </c>
      <c r="P31" s="480">
        <v>1.5052473763118441</v>
      </c>
      <c r="Q31" s="481">
        <v>0</v>
      </c>
      <c r="R31" s="482">
        <v>0</v>
      </c>
      <c r="S31" s="480">
        <v>0.72700941346850112</v>
      </c>
      <c r="T31" s="483">
        <v>3.2725160829163689</v>
      </c>
    </row>
    <row r="32" spans="2:21" s="358" customFormat="1" ht="16.05" customHeight="1" x14ac:dyDescent="0.45">
      <c r="B32" s="494"/>
      <c r="C32" s="461" t="s">
        <v>132</v>
      </c>
      <c r="D32" s="484">
        <v>2.0074074074074075</v>
      </c>
      <c r="E32" s="484">
        <v>0.85154975530179444</v>
      </c>
      <c r="F32" s="484">
        <v>4.4208860759493671</v>
      </c>
      <c r="G32" s="484">
        <v>2.5465346534653466</v>
      </c>
      <c r="H32" s="484">
        <v>6.2050816696914701</v>
      </c>
      <c r="I32" s="484">
        <v>249.25</v>
      </c>
      <c r="J32" s="484">
        <v>4.7617260787992493</v>
      </c>
      <c r="K32" s="484">
        <v>8.1642335766423351</v>
      </c>
      <c r="L32" s="484">
        <v>2.7627118644067798</v>
      </c>
      <c r="M32" s="484">
        <v>2.3657534246575342</v>
      </c>
      <c r="N32" s="484">
        <v>2.0373443983402488</v>
      </c>
      <c r="O32" s="484">
        <v>2.4407484407484406</v>
      </c>
      <c r="P32" s="484">
        <v>1.3158756137479541</v>
      </c>
      <c r="Q32" s="484">
        <v>0</v>
      </c>
      <c r="R32" s="484">
        <v>0</v>
      </c>
      <c r="S32" s="484">
        <v>0.60679245283018868</v>
      </c>
      <c r="T32" s="485">
        <v>3.1849786205614428</v>
      </c>
    </row>
    <row r="33" spans="2:20" s="358" customFormat="1" ht="16.05" customHeight="1" x14ac:dyDescent="0.45">
      <c r="B33" s="495" t="s">
        <v>113</v>
      </c>
      <c r="C33" s="496"/>
      <c r="D33" s="482">
        <v>1.2300143609382479</v>
      </c>
      <c r="E33" s="482">
        <v>0.18251121076233184</v>
      </c>
      <c r="F33" s="482">
        <v>0.3475991649269311</v>
      </c>
      <c r="G33" s="482">
        <v>0.50300914780934036</v>
      </c>
      <c r="H33" s="482">
        <v>0.80768381541179068</v>
      </c>
      <c r="I33" s="482">
        <v>0.97584803256445052</v>
      </c>
      <c r="J33" s="482">
        <v>2.0583687669114803</v>
      </c>
      <c r="K33" s="482">
        <v>1.1646143875567077</v>
      </c>
      <c r="L33" s="482">
        <v>1.979336595976074</v>
      </c>
      <c r="M33" s="482">
        <v>0.98002305032654624</v>
      </c>
      <c r="N33" s="482">
        <v>0.70128162997042387</v>
      </c>
      <c r="O33" s="482">
        <v>1.1122244488977955</v>
      </c>
      <c r="P33" s="482">
        <v>0.8037901548416917</v>
      </c>
      <c r="Q33" s="482">
        <v>0</v>
      </c>
      <c r="R33" s="482">
        <v>0</v>
      </c>
      <c r="S33" s="482">
        <v>0.19405233498856217</v>
      </c>
      <c r="T33" s="483">
        <v>0.61978230004732604</v>
      </c>
    </row>
    <row r="34" spans="2:20" s="358" customFormat="1" ht="16.05" customHeight="1" x14ac:dyDescent="0.45">
      <c r="B34" s="495" t="s">
        <v>133</v>
      </c>
      <c r="C34" s="496"/>
      <c r="D34" s="482">
        <v>0.60597826086956519</v>
      </c>
      <c r="E34" s="482">
        <v>2.1616438356164385</v>
      </c>
      <c r="F34" s="482">
        <v>1.7718631178707225</v>
      </c>
      <c r="G34" s="482">
        <v>1.4839357429718876</v>
      </c>
      <c r="H34" s="482">
        <v>0.96636085626911317</v>
      </c>
      <c r="I34" s="482">
        <v>0.36468330134357008</v>
      </c>
      <c r="J34" s="482">
        <v>1.0808314087759816</v>
      </c>
      <c r="K34" s="482">
        <v>0.76034348165495702</v>
      </c>
      <c r="L34" s="482">
        <v>1.3359580052493438</v>
      </c>
      <c r="M34" s="482">
        <v>0.97535211267605637</v>
      </c>
      <c r="N34" s="482">
        <v>2.9306358381502888</v>
      </c>
      <c r="O34" s="482">
        <v>1.7804154302670623</v>
      </c>
      <c r="P34" s="482">
        <v>1.7860169491525424</v>
      </c>
      <c r="Q34" s="482">
        <v>0</v>
      </c>
      <c r="R34" s="482">
        <v>0</v>
      </c>
      <c r="S34" s="482">
        <v>0.69611890999174231</v>
      </c>
      <c r="T34" s="483">
        <v>1.13247388308513</v>
      </c>
    </row>
    <row r="35" spans="2:20" s="358" customFormat="1" ht="16.05" customHeight="1" x14ac:dyDescent="0.45">
      <c r="B35" s="492" t="s">
        <v>134</v>
      </c>
      <c r="C35" s="496"/>
      <c r="D35" s="482">
        <v>1.4597060314242272</v>
      </c>
      <c r="E35" s="482">
        <v>0.8682238871749669</v>
      </c>
      <c r="F35" s="482">
        <v>0.66025288620120948</v>
      </c>
      <c r="G35" s="482">
        <v>0.99835010724302919</v>
      </c>
      <c r="H35" s="482">
        <v>1.5402397260273972</v>
      </c>
      <c r="I35" s="482">
        <v>1.6229855810008482</v>
      </c>
      <c r="J35" s="482">
        <v>1.2847608453837598</v>
      </c>
      <c r="K35" s="482">
        <v>1.4608709625582517</v>
      </c>
      <c r="L35" s="482">
        <v>1.7749999999999999</v>
      </c>
      <c r="M35" s="482">
        <v>1.1546099290780141</v>
      </c>
      <c r="N35" s="482">
        <v>1.5142517814726841</v>
      </c>
      <c r="O35" s="482">
        <v>1.4869171173805</v>
      </c>
      <c r="P35" s="482">
        <v>1.1664736537348002</v>
      </c>
      <c r="Q35" s="482">
        <v>0</v>
      </c>
      <c r="R35" s="482">
        <v>0</v>
      </c>
      <c r="S35" s="482">
        <v>0.49630450849963043</v>
      </c>
      <c r="T35" s="483">
        <v>1.077084021583526</v>
      </c>
    </row>
    <row r="36" spans="2:20" s="358" customFormat="1" ht="7.05" customHeight="1" thickBot="1" x14ac:dyDescent="0.5">
      <c r="B36" s="465"/>
      <c r="C36" s="465"/>
      <c r="D36" s="486"/>
      <c r="E36" s="486"/>
      <c r="F36" s="486"/>
      <c r="G36" s="487"/>
      <c r="H36" s="486"/>
      <c r="I36" s="486"/>
      <c r="J36" s="486"/>
      <c r="K36" s="487"/>
      <c r="L36" s="486"/>
      <c r="M36" s="486"/>
      <c r="N36" s="486"/>
      <c r="O36" s="487"/>
      <c r="P36" s="486"/>
      <c r="Q36" s="486"/>
      <c r="R36" s="486"/>
      <c r="S36" s="487"/>
      <c r="T36" s="488"/>
    </row>
    <row r="37" spans="2:20" s="358" customFormat="1" ht="16.05" customHeight="1" thickBot="1" x14ac:dyDescent="0.5">
      <c r="B37" s="468" t="s">
        <v>135</v>
      </c>
      <c r="C37" s="469"/>
      <c r="D37" s="489">
        <v>1.2938577110030933</v>
      </c>
      <c r="E37" s="489">
        <v>0.45305424172285397</v>
      </c>
      <c r="F37" s="489">
        <v>0.77747577404868828</v>
      </c>
      <c r="G37" s="489">
        <v>0.78866920755915515</v>
      </c>
      <c r="H37" s="489">
        <v>1.3980228136882129</v>
      </c>
      <c r="I37" s="489">
        <v>1.6412616963477211</v>
      </c>
      <c r="J37" s="489">
        <v>1.9066666666666667</v>
      </c>
      <c r="K37" s="489">
        <v>1.6449925644838725</v>
      </c>
      <c r="L37" s="489">
        <v>1.9129190515126737</v>
      </c>
      <c r="M37" s="489">
        <v>1.2694579569145239</v>
      </c>
      <c r="N37" s="489">
        <v>1.215565961569514</v>
      </c>
      <c r="O37" s="489">
        <v>1.4365536488332047</v>
      </c>
      <c r="P37" s="489">
        <v>1.0486547085201794</v>
      </c>
      <c r="Q37" s="489">
        <v>0</v>
      </c>
      <c r="R37" s="489">
        <v>0</v>
      </c>
      <c r="S37" s="489">
        <v>0.32668599168791257</v>
      </c>
      <c r="T37" s="490">
        <v>0.9481827357119883</v>
      </c>
    </row>
    <row r="38" spans="2:20" s="358" customFormat="1" ht="16.05" customHeight="1" x14ac:dyDescent="0.45"/>
    <row r="39" spans="2:20" s="358" customFormat="1" ht="16.05" customHeight="1" x14ac:dyDescent="0.45">
      <c r="B39" s="491" t="s">
        <v>44</v>
      </c>
    </row>
    <row r="40" spans="2:20" s="358" customFormat="1" ht="16.05" customHeight="1" x14ac:dyDescent="0.45">
      <c r="B40" s="491" t="s">
        <v>142</v>
      </c>
    </row>
    <row r="41" spans="2:20" s="358" customFormat="1" ht="16.05" customHeight="1" x14ac:dyDescent="0.45">
      <c r="B41" s="107" t="s">
        <v>145</v>
      </c>
    </row>
    <row r="42" spans="2:20" s="358" customFormat="1" ht="16.05" customHeight="1" x14ac:dyDescent="0.45">
      <c r="B42" s="460" t="s">
        <v>146</v>
      </c>
    </row>
  </sheetData>
  <mergeCells count="17">
    <mergeCell ref="B3:C3"/>
    <mergeCell ref="B15:C15"/>
    <mergeCell ref="D4:T4"/>
    <mergeCell ref="D16:T16"/>
    <mergeCell ref="D28:T28"/>
    <mergeCell ref="G29:G30"/>
    <mergeCell ref="K29:K30"/>
    <mergeCell ref="O29:O30"/>
    <mergeCell ref="S29:S30"/>
    <mergeCell ref="G5:G6"/>
    <mergeCell ref="K5:K6"/>
    <mergeCell ref="O5:O6"/>
    <mergeCell ref="S5:S6"/>
    <mergeCell ref="G17:G18"/>
    <mergeCell ref="K17:K18"/>
    <mergeCell ref="O17:O18"/>
    <mergeCell ref="S17:S18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29C5-5506-420B-8BC1-1C0B630B6766}">
  <dimension ref="A1"/>
  <sheetViews>
    <sheetView workbookViewId="0">
      <selection activeCell="L34" sqref="L34"/>
    </sheetView>
  </sheetViews>
  <sheetFormatPr defaultRowHeight="18" x14ac:dyDescent="0.45"/>
  <sheetData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5EB6-5CF0-449D-89D2-970F5596329C}">
  <dimension ref="A1:K39"/>
  <sheetViews>
    <sheetView zoomScale="85" zoomScaleNormal="85" workbookViewId="0">
      <selection activeCell="G2" sqref="G2"/>
    </sheetView>
  </sheetViews>
  <sheetFormatPr defaultColWidth="8.59765625" defaultRowHeight="15" outlineLevelRow="2" x14ac:dyDescent="0.45"/>
  <cols>
    <col min="1" max="1" width="1.59765625" style="105" customWidth="1"/>
    <col min="2" max="4" width="12.59765625" style="105" customWidth="1"/>
    <col min="5" max="9" width="15.59765625" style="105" customWidth="1"/>
    <col min="10" max="10" width="8.59765625" style="105"/>
    <col min="11" max="11" width="1.59765625" style="105" customWidth="1"/>
    <col min="12" max="16384" width="8.59765625" style="105"/>
  </cols>
  <sheetData>
    <row r="1" spans="1:11" x14ac:dyDescent="0.45">
      <c r="A1" s="103"/>
      <c r="B1" s="104"/>
      <c r="C1" s="104"/>
      <c r="D1" s="104"/>
      <c r="E1" s="104"/>
      <c r="F1" s="103"/>
      <c r="G1" s="103"/>
      <c r="H1" s="103"/>
      <c r="I1" s="103"/>
      <c r="K1" s="103"/>
    </row>
    <row r="2" spans="1:11" ht="22.8" x14ac:dyDescent="0.45">
      <c r="A2" s="103"/>
      <c r="B2" s="106" t="s">
        <v>163</v>
      </c>
      <c r="C2" s="104"/>
      <c r="D2" s="104"/>
      <c r="E2" s="104"/>
      <c r="F2" s="103"/>
      <c r="I2" s="103"/>
      <c r="K2" s="103"/>
    </row>
    <row r="3" spans="1:11" ht="16.2" x14ac:dyDescent="0.3">
      <c r="A3" s="103"/>
      <c r="B3" s="107"/>
      <c r="C3" s="107"/>
      <c r="D3" s="107"/>
      <c r="E3" s="108"/>
      <c r="F3" s="109"/>
      <c r="I3" s="110" t="s">
        <v>141</v>
      </c>
      <c r="K3" s="103"/>
    </row>
    <row r="4" spans="1:11" ht="16.2" x14ac:dyDescent="0.45">
      <c r="A4" s="103"/>
      <c r="B4" s="619" t="s">
        <v>175</v>
      </c>
      <c r="C4" s="620"/>
      <c r="D4" s="620"/>
      <c r="E4" s="111">
        <v>2019</v>
      </c>
      <c r="F4" s="111">
        <v>2020</v>
      </c>
      <c r="G4" s="111">
        <v>2021</v>
      </c>
      <c r="H4" s="111">
        <v>2022</v>
      </c>
      <c r="I4" s="575">
        <v>2023</v>
      </c>
      <c r="K4" s="103"/>
    </row>
    <row r="5" spans="1:11" ht="16.2" x14ac:dyDescent="0.45">
      <c r="A5" s="103"/>
      <c r="B5" s="112" t="s">
        <v>55</v>
      </c>
      <c r="C5" s="113"/>
      <c r="D5" s="113"/>
      <c r="E5" s="269">
        <v>843056</v>
      </c>
      <c r="F5" s="269">
        <v>729500</v>
      </c>
      <c r="G5" s="269">
        <v>615587</v>
      </c>
      <c r="H5" s="269">
        <v>643973</v>
      </c>
      <c r="I5" s="269">
        <v>718521</v>
      </c>
      <c r="K5" s="103"/>
    </row>
    <row r="6" spans="1:11" ht="16.2" x14ac:dyDescent="0.45">
      <c r="A6" s="103"/>
      <c r="B6" s="112" t="s">
        <v>58</v>
      </c>
      <c r="C6" s="113"/>
      <c r="D6" s="113"/>
      <c r="E6" s="269">
        <v>1817191</v>
      </c>
      <c r="F6" s="269">
        <v>1450538</v>
      </c>
      <c r="G6" s="269">
        <v>1300804</v>
      </c>
      <c r="H6" s="269">
        <v>1198753</v>
      </c>
      <c r="I6" s="269">
        <v>1559981</v>
      </c>
      <c r="K6" s="103"/>
    </row>
    <row r="7" spans="1:11" ht="16.2" x14ac:dyDescent="0.45">
      <c r="A7" s="103"/>
      <c r="B7" s="115"/>
      <c r="C7" s="116" t="s">
        <v>60</v>
      </c>
      <c r="D7" s="117"/>
      <c r="E7" s="270">
        <v>612609</v>
      </c>
      <c r="F7" s="270">
        <v>499064</v>
      </c>
      <c r="G7" s="270">
        <v>416176</v>
      </c>
      <c r="H7" s="270">
        <v>416379</v>
      </c>
      <c r="I7" s="270">
        <v>477225</v>
      </c>
      <c r="K7" s="103"/>
    </row>
    <row r="8" spans="1:11" ht="16.2" x14ac:dyDescent="0.45">
      <c r="A8" s="103"/>
      <c r="B8" s="115"/>
      <c r="C8" s="119" t="s">
        <v>62</v>
      </c>
      <c r="D8" s="120"/>
      <c r="E8" s="271">
        <v>351874</v>
      </c>
      <c r="F8" s="271">
        <v>276087</v>
      </c>
      <c r="G8" s="271">
        <v>283184</v>
      </c>
      <c r="H8" s="271">
        <v>270106</v>
      </c>
      <c r="I8" s="271">
        <v>306787</v>
      </c>
      <c r="K8" s="103"/>
    </row>
    <row r="9" spans="1:11" ht="16.2" x14ac:dyDescent="0.45">
      <c r="A9" s="103"/>
      <c r="B9" s="115"/>
      <c r="C9" s="122" t="s">
        <v>64</v>
      </c>
      <c r="D9" s="123"/>
      <c r="E9" s="272">
        <v>240533</v>
      </c>
      <c r="F9" s="272">
        <v>191297</v>
      </c>
      <c r="G9" s="272">
        <v>156964</v>
      </c>
      <c r="H9" s="272">
        <v>145423</v>
      </c>
      <c r="I9" s="272">
        <v>234250</v>
      </c>
      <c r="K9" s="103"/>
    </row>
    <row r="10" spans="1:11" ht="16.2" x14ac:dyDescent="0.45">
      <c r="A10" s="103"/>
      <c r="B10" s="115"/>
      <c r="C10" s="125" t="s">
        <v>174</v>
      </c>
      <c r="D10" s="126"/>
      <c r="E10" s="273">
        <v>1205016</v>
      </c>
      <c r="F10" s="273">
        <v>966448</v>
      </c>
      <c r="G10" s="273">
        <v>856324</v>
      </c>
      <c r="H10" s="273">
        <v>831908</v>
      </c>
      <c r="I10" s="273">
        <v>1018262</v>
      </c>
      <c r="K10" s="103"/>
    </row>
    <row r="11" spans="1:11" ht="16.2" x14ac:dyDescent="0.45">
      <c r="A11" s="103"/>
      <c r="B11" s="115"/>
      <c r="C11" s="122" t="s">
        <v>66</v>
      </c>
      <c r="D11" s="128"/>
      <c r="E11" s="274">
        <v>407758</v>
      </c>
      <c r="F11" s="274">
        <v>355533</v>
      </c>
      <c r="G11" s="274">
        <v>292189</v>
      </c>
      <c r="H11" s="274">
        <v>240536</v>
      </c>
      <c r="I11" s="274">
        <v>374467</v>
      </c>
      <c r="K11" s="103"/>
    </row>
    <row r="12" spans="1:11" ht="16.2" x14ac:dyDescent="0.45">
      <c r="A12" s="103"/>
      <c r="B12" s="115"/>
      <c r="C12" s="211" t="s">
        <v>68</v>
      </c>
      <c r="D12" s="123"/>
      <c r="E12" s="272">
        <v>204417</v>
      </c>
      <c r="F12" s="272">
        <v>128556.99999999999</v>
      </c>
      <c r="G12" s="272">
        <v>152291</v>
      </c>
      <c r="H12" s="272">
        <v>126309</v>
      </c>
      <c r="I12" s="272">
        <v>167252</v>
      </c>
      <c r="K12" s="103"/>
    </row>
    <row r="13" spans="1:11" ht="16.2" x14ac:dyDescent="0.45">
      <c r="A13" s="103"/>
      <c r="B13" s="112" t="s">
        <v>70</v>
      </c>
      <c r="C13" s="113"/>
      <c r="D13" s="113"/>
      <c r="E13" s="269">
        <v>142018</v>
      </c>
      <c r="F13" s="269">
        <v>77459</v>
      </c>
      <c r="G13" s="269">
        <v>88740</v>
      </c>
      <c r="H13" s="269">
        <v>63540</v>
      </c>
      <c r="I13" s="269">
        <v>78720</v>
      </c>
      <c r="K13" s="103"/>
    </row>
    <row r="14" spans="1:11" ht="16.2" x14ac:dyDescent="0.45">
      <c r="A14" s="103"/>
      <c r="B14" s="115"/>
      <c r="C14" s="116" t="s">
        <v>72</v>
      </c>
      <c r="D14" s="128"/>
      <c r="E14" s="274">
        <v>133476</v>
      </c>
      <c r="F14" s="274">
        <v>75583</v>
      </c>
      <c r="G14" s="274">
        <v>88740</v>
      </c>
      <c r="H14" s="274">
        <v>63540</v>
      </c>
      <c r="I14" s="274">
        <v>78720</v>
      </c>
      <c r="K14" s="103"/>
    </row>
    <row r="15" spans="1:11" ht="16.2" x14ac:dyDescent="0.45">
      <c r="A15" s="103"/>
      <c r="B15" s="115"/>
      <c r="C15" s="211" t="s">
        <v>137</v>
      </c>
      <c r="D15" s="123"/>
      <c r="E15" s="275">
        <v>8542</v>
      </c>
      <c r="F15" s="275">
        <v>1876</v>
      </c>
      <c r="G15" s="276"/>
      <c r="H15" s="276"/>
      <c r="I15" s="276"/>
      <c r="K15" s="103"/>
    </row>
    <row r="16" spans="1:11" ht="16.2" x14ac:dyDescent="0.45">
      <c r="A16" s="103"/>
      <c r="B16" s="112" t="s">
        <v>113</v>
      </c>
      <c r="C16" s="113"/>
      <c r="D16" s="113"/>
      <c r="E16" s="269">
        <v>133017</v>
      </c>
      <c r="F16" s="269">
        <v>95276</v>
      </c>
      <c r="G16" s="269">
        <v>76006</v>
      </c>
      <c r="H16" s="289"/>
      <c r="I16" s="289"/>
      <c r="K16" s="103"/>
    </row>
    <row r="17" spans="1:11" ht="16.2" outlineLevel="2" x14ac:dyDescent="0.45">
      <c r="A17" s="103"/>
      <c r="B17" s="115"/>
      <c r="C17" s="116" t="s">
        <v>139</v>
      </c>
      <c r="D17" s="128"/>
      <c r="E17" s="277">
        <v>108783</v>
      </c>
      <c r="F17" s="277">
        <v>69408</v>
      </c>
      <c r="G17" s="277">
        <v>54273</v>
      </c>
      <c r="H17" s="278"/>
      <c r="I17" s="278"/>
      <c r="K17" s="103"/>
    </row>
    <row r="18" spans="1:11" ht="16.2" outlineLevel="2" x14ac:dyDescent="0.45">
      <c r="A18" s="103"/>
      <c r="B18" s="115"/>
      <c r="C18" s="211" t="s">
        <v>140</v>
      </c>
      <c r="D18" s="123"/>
      <c r="E18" s="275">
        <v>24234</v>
      </c>
      <c r="F18" s="275">
        <v>25868</v>
      </c>
      <c r="G18" s="275">
        <v>21733</v>
      </c>
      <c r="H18" s="276"/>
      <c r="I18" s="276"/>
      <c r="K18" s="103"/>
    </row>
    <row r="19" spans="1:11" ht="16.2" x14ac:dyDescent="0.45">
      <c r="A19" s="103"/>
      <c r="B19" s="112" t="s">
        <v>74</v>
      </c>
      <c r="C19" s="113"/>
      <c r="D19" s="113"/>
      <c r="E19" s="269">
        <v>668228</v>
      </c>
      <c r="F19" s="269">
        <v>400682</v>
      </c>
      <c r="G19" s="269">
        <v>475994</v>
      </c>
      <c r="H19" s="269">
        <v>539560</v>
      </c>
      <c r="I19" s="269">
        <v>564538</v>
      </c>
      <c r="K19" s="103"/>
    </row>
    <row r="20" spans="1:11" ht="16.2" x14ac:dyDescent="0.45">
      <c r="A20" s="103"/>
      <c r="B20" s="115"/>
      <c r="C20" s="116" t="s">
        <v>76</v>
      </c>
      <c r="D20" s="117"/>
      <c r="E20" s="270">
        <v>228347</v>
      </c>
      <c r="F20" s="270">
        <v>140333</v>
      </c>
      <c r="G20" s="270">
        <v>137570</v>
      </c>
      <c r="H20" s="270">
        <v>124550</v>
      </c>
      <c r="I20" s="270">
        <v>147376</v>
      </c>
      <c r="K20" s="103"/>
    </row>
    <row r="21" spans="1:11" ht="16.2" x14ac:dyDescent="0.45">
      <c r="A21" s="103"/>
      <c r="B21" s="115"/>
      <c r="C21" s="119" t="s">
        <v>78</v>
      </c>
      <c r="D21" s="120"/>
      <c r="E21" s="271">
        <v>140102</v>
      </c>
      <c r="F21" s="271">
        <v>77413</v>
      </c>
      <c r="G21" s="271">
        <v>97421</v>
      </c>
      <c r="H21" s="271">
        <v>141023</v>
      </c>
      <c r="I21" s="271">
        <v>158422</v>
      </c>
      <c r="K21" s="103"/>
    </row>
    <row r="22" spans="1:11" ht="16.2" x14ac:dyDescent="0.45">
      <c r="A22" s="103"/>
      <c r="B22" s="115"/>
      <c r="C22" s="119" t="s">
        <v>80</v>
      </c>
      <c r="D22" s="120"/>
      <c r="E22" s="271">
        <v>88307</v>
      </c>
      <c r="F22" s="271">
        <v>46675</v>
      </c>
      <c r="G22" s="271">
        <v>53913</v>
      </c>
      <c r="H22" s="271">
        <v>77100</v>
      </c>
      <c r="I22" s="271">
        <v>83111</v>
      </c>
      <c r="K22" s="103"/>
    </row>
    <row r="23" spans="1:11" ht="16.2" x14ac:dyDescent="0.45">
      <c r="A23" s="103"/>
      <c r="B23" s="115"/>
      <c r="C23" s="119" t="s">
        <v>82</v>
      </c>
      <c r="D23" s="120"/>
      <c r="E23" s="271">
        <v>9977</v>
      </c>
      <c r="F23" s="271">
        <v>14340</v>
      </c>
      <c r="G23" s="271">
        <v>19839</v>
      </c>
      <c r="H23" s="271">
        <v>20617</v>
      </c>
      <c r="I23" s="271">
        <v>17171</v>
      </c>
      <c r="K23" s="103"/>
    </row>
    <row r="24" spans="1:11" ht="16.2" x14ac:dyDescent="0.45">
      <c r="A24" s="103"/>
      <c r="B24" s="115"/>
      <c r="C24" s="119" t="s">
        <v>138</v>
      </c>
      <c r="D24" s="120"/>
      <c r="E24" s="279">
        <v>8254</v>
      </c>
      <c r="F24" s="279">
        <v>1136</v>
      </c>
      <c r="G24" s="280"/>
      <c r="H24" s="280"/>
      <c r="I24" s="280"/>
      <c r="K24" s="103"/>
    </row>
    <row r="25" spans="1:11" ht="16.2" x14ac:dyDescent="0.45">
      <c r="A25" s="103"/>
      <c r="B25" s="115"/>
      <c r="C25" s="119" t="s">
        <v>84</v>
      </c>
      <c r="D25" s="120"/>
      <c r="E25" s="271">
        <v>29762</v>
      </c>
      <c r="F25" s="271">
        <v>26818</v>
      </c>
      <c r="G25" s="271">
        <v>26580</v>
      </c>
      <c r="H25" s="271">
        <v>25263</v>
      </c>
      <c r="I25" s="271">
        <v>31045</v>
      </c>
      <c r="K25" s="103"/>
    </row>
    <row r="26" spans="1:11" ht="16.2" x14ac:dyDescent="0.45">
      <c r="A26" s="103"/>
      <c r="B26" s="115"/>
      <c r="C26" s="119" t="s">
        <v>86</v>
      </c>
      <c r="D26" s="120"/>
      <c r="E26" s="271">
        <v>28144</v>
      </c>
      <c r="F26" s="271">
        <v>21225</v>
      </c>
      <c r="G26" s="271">
        <v>35074</v>
      </c>
      <c r="H26" s="271">
        <v>32002.000000000004</v>
      </c>
      <c r="I26" s="271">
        <v>11053</v>
      </c>
      <c r="K26" s="103"/>
    </row>
    <row r="27" spans="1:11" ht="16.2" x14ac:dyDescent="0.45">
      <c r="A27" s="103"/>
      <c r="B27" s="115"/>
      <c r="C27" s="122" t="s">
        <v>88</v>
      </c>
      <c r="D27" s="123"/>
      <c r="E27" s="272">
        <v>135335</v>
      </c>
      <c r="F27" s="272">
        <v>72742</v>
      </c>
      <c r="G27" s="272">
        <v>105597</v>
      </c>
      <c r="H27" s="272">
        <v>119005</v>
      </c>
      <c r="I27" s="272">
        <v>116360</v>
      </c>
      <c r="K27" s="103"/>
    </row>
    <row r="28" spans="1:11" ht="16.2" x14ac:dyDescent="0.45">
      <c r="A28" s="103"/>
      <c r="B28" s="112" t="s">
        <v>90</v>
      </c>
      <c r="C28" s="113"/>
      <c r="D28" s="113"/>
      <c r="E28" s="269">
        <v>1566735</v>
      </c>
      <c r="F28" s="269">
        <v>1644891</v>
      </c>
      <c r="G28" s="269">
        <v>1578210</v>
      </c>
      <c r="H28" s="269">
        <v>1424120</v>
      </c>
      <c r="I28" s="269">
        <v>1265952</v>
      </c>
      <c r="K28" s="103"/>
    </row>
    <row r="29" spans="1:11" ht="16.2" x14ac:dyDescent="0.45">
      <c r="A29" s="103"/>
      <c r="B29" s="115"/>
      <c r="C29" s="116" t="s">
        <v>94</v>
      </c>
      <c r="D29" s="117"/>
      <c r="E29" s="270">
        <v>761000</v>
      </c>
      <c r="F29" s="270">
        <v>803081</v>
      </c>
      <c r="G29" s="270">
        <v>814056</v>
      </c>
      <c r="H29" s="270">
        <v>741933</v>
      </c>
      <c r="I29" s="270">
        <v>652319</v>
      </c>
      <c r="K29" s="103"/>
    </row>
    <row r="30" spans="1:11" ht="16.2" x14ac:dyDescent="0.45">
      <c r="A30" s="103"/>
      <c r="B30" s="115"/>
      <c r="C30" s="119" t="s">
        <v>96</v>
      </c>
      <c r="D30" s="120"/>
      <c r="E30" s="279">
        <v>791518</v>
      </c>
      <c r="F30" s="279">
        <v>840484</v>
      </c>
      <c r="G30" s="279">
        <v>764154</v>
      </c>
      <c r="H30" s="279">
        <v>682187</v>
      </c>
      <c r="I30" s="279">
        <v>613633</v>
      </c>
      <c r="K30" s="103"/>
    </row>
    <row r="31" spans="1:11" ht="16.2" outlineLevel="1" x14ac:dyDescent="0.45">
      <c r="A31" s="103"/>
      <c r="B31" s="115"/>
      <c r="C31" s="166" t="s">
        <v>37</v>
      </c>
      <c r="D31" s="123"/>
      <c r="E31" s="275">
        <v>14217</v>
      </c>
      <c r="F31" s="275">
        <v>1326</v>
      </c>
      <c r="G31" s="276"/>
      <c r="H31" s="275">
        <v>0</v>
      </c>
      <c r="I31" s="276"/>
      <c r="K31" s="103"/>
    </row>
    <row r="32" spans="1:11" ht="16.2" x14ac:dyDescent="0.45">
      <c r="A32" s="103"/>
      <c r="B32" s="112" t="s">
        <v>92</v>
      </c>
      <c r="C32" s="113"/>
      <c r="D32" s="113"/>
      <c r="E32" s="269">
        <v>350</v>
      </c>
      <c r="F32" s="269">
        <v>257</v>
      </c>
      <c r="G32" s="269">
        <v>309</v>
      </c>
      <c r="H32" s="269">
        <v>216</v>
      </c>
      <c r="I32" s="269">
        <v>327</v>
      </c>
      <c r="K32" s="103"/>
    </row>
    <row r="33" spans="1:11" ht="16.2" x14ac:dyDescent="0.45">
      <c r="A33" s="103"/>
      <c r="B33" s="115"/>
      <c r="C33" s="116" t="s">
        <v>98</v>
      </c>
      <c r="D33" s="128"/>
      <c r="E33" s="274">
        <v>350</v>
      </c>
      <c r="F33" s="274">
        <v>257</v>
      </c>
      <c r="G33" s="274">
        <v>0</v>
      </c>
      <c r="H33" s="274">
        <v>216</v>
      </c>
      <c r="I33" s="274">
        <v>318</v>
      </c>
      <c r="K33" s="103"/>
    </row>
    <row r="34" spans="1:11" ht="16.2" x14ac:dyDescent="0.45">
      <c r="A34" s="103"/>
      <c r="B34" s="165"/>
      <c r="C34" s="211" t="s">
        <v>100</v>
      </c>
      <c r="D34" s="123"/>
      <c r="E34" s="276"/>
      <c r="F34" s="276"/>
      <c r="G34" s="276"/>
      <c r="H34" s="276"/>
      <c r="I34" s="275">
        <v>9</v>
      </c>
      <c r="K34" s="103"/>
    </row>
    <row r="35" spans="1:11" ht="16.8" thickBot="1" x14ac:dyDescent="0.5">
      <c r="A35" s="103"/>
      <c r="B35" s="208"/>
      <c r="C35" s="184"/>
      <c r="D35" s="130"/>
      <c r="E35" s="281"/>
      <c r="F35" s="281"/>
      <c r="G35" s="281"/>
      <c r="H35" s="281"/>
      <c r="I35" s="281"/>
      <c r="K35" s="103"/>
    </row>
    <row r="36" spans="1:11" ht="16.8" thickBot="1" x14ac:dyDescent="0.5">
      <c r="A36" s="103"/>
      <c r="B36" s="209" t="s">
        <v>57</v>
      </c>
      <c r="C36" s="210"/>
      <c r="D36" s="131"/>
      <c r="E36" s="282">
        <v>5170595</v>
      </c>
      <c r="F36" s="282">
        <v>4398603</v>
      </c>
      <c r="G36" s="283">
        <v>4135649.9999999995</v>
      </c>
      <c r="H36" s="283">
        <v>3870162</v>
      </c>
      <c r="I36" s="284">
        <v>4188039</v>
      </c>
      <c r="K36" s="103"/>
    </row>
    <row r="37" spans="1:11" x14ac:dyDescent="0.45">
      <c r="A37" s="103"/>
      <c r="B37" s="104"/>
      <c r="C37" s="104"/>
      <c r="D37" s="104"/>
      <c r="E37" s="104"/>
      <c r="F37" s="103"/>
      <c r="G37" s="103"/>
      <c r="H37" s="103"/>
      <c r="I37" s="103"/>
      <c r="K37" s="103"/>
    </row>
    <row r="38" spans="1:11" x14ac:dyDescent="0.45">
      <c r="A38" s="103"/>
      <c r="B38" s="104"/>
      <c r="C38" s="104"/>
      <c r="D38" s="104"/>
      <c r="E38" s="104"/>
      <c r="F38" s="103"/>
      <c r="G38" s="103"/>
      <c r="H38" s="103"/>
      <c r="I38" s="103"/>
      <c r="K38" s="103"/>
    </row>
    <row r="39" spans="1:11" x14ac:dyDescent="0.45">
      <c r="A39" s="103"/>
      <c r="B39" s="104"/>
      <c r="C39" s="104"/>
      <c r="D39" s="104"/>
      <c r="E39" s="104"/>
      <c r="F39" s="103"/>
      <c r="G39" s="103"/>
      <c r="H39" s="103"/>
      <c r="I39" s="103"/>
      <c r="K39" s="103"/>
    </row>
  </sheetData>
  <mergeCells count="1">
    <mergeCell ref="B4:D4"/>
  </mergeCells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F994-78D3-4A68-BD70-57E5790134D6}">
  <dimension ref="B1:I43"/>
  <sheetViews>
    <sheetView showGridLines="0" zoomScale="80" zoomScaleNormal="80" workbookViewId="0">
      <selection activeCell="F2" sqref="F2"/>
    </sheetView>
  </sheetViews>
  <sheetFormatPr defaultColWidth="8.796875" defaultRowHeight="15" outlineLevelRow="2" x14ac:dyDescent="0.45"/>
  <cols>
    <col min="1" max="1" width="1.59765625" style="212" customWidth="1"/>
    <col min="2" max="2" width="13.296875" style="212" customWidth="1"/>
    <col min="3" max="4" width="21.59765625" style="212" customWidth="1"/>
    <col min="5" max="9" width="15.59765625" style="212" customWidth="1"/>
    <col min="10" max="10" width="8.796875" style="212"/>
    <col min="11" max="11" width="1.59765625" style="212" customWidth="1"/>
    <col min="12" max="16384" width="8.796875" style="212"/>
  </cols>
  <sheetData>
    <row r="1" spans="2:9" s="190" customFormat="1" x14ac:dyDescent="0.45"/>
    <row r="2" spans="2:9" s="190" customFormat="1" ht="22.8" x14ac:dyDescent="0.45">
      <c r="B2" s="189" t="s">
        <v>107</v>
      </c>
    </row>
    <row r="3" spans="2:9" s="333" customFormat="1" ht="16.05" customHeight="1" outlineLevel="1" x14ac:dyDescent="0.3">
      <c r="B3" s="621"/>
      <c r="C3" s="621"/>
      <c r="I3" s="509" t="s">
        <v>104</v>
      </c>
    </row>
    <row r="4" spans="2:9" s="333" customFormat="1" ht="16.05" customHeight="1" outlineLevel="1" x14ac:dyDescent="0.45">
      <c r="B4" s="622" t="s">
        <v>35</v>
      </c>
      <c r="C4" s="623"/>
      <c r="D4" s="624"/>
      <c r="E4" s="575">
        <v>2019</v>
      </c>
      <c r="F4" s="575">
        <v>2020</v>
      </c>
      <c r="G4" s="575">
        <v>2021</v>
      </c>
      <c r="H4" s="575">
        <v>2022</v>
      </c>
      <c r="I4" s="575">
        <v>2023</v>
      </c>
    </row>
    <row r="5" spans="2:9" s="333" customFormat="1" ht="16.05" customHeight="1" outlineLevel="2" x14ac:dyDescent="0.45">
      <c r="B5" s="291" t="s">
        <v>55</v>
      </c>
      <c r="C5" s="292"/>
      <c r="D5" s="292"/>
      <c r="E5" s="293">
        <v>722003</v>
      </c>
      <c r="F5" s="293">
        <v>619115</v>
      </c>
      <c r="G5" s="293">
        <v>579740</v>
      </c>
      <c r="H5" s="293">
        <v>567969</v>
      </c>
      <c r="I5" s="293">
        <v>594267</v>
      </c>
    </row>
    <row r="6" spans="2:9" s="333" customFormat="1" ht="16.05" customHeight="1" outlineLevel="2" x14ac:dyDescent="0.45">
      <c r="B6" s="295"/>
      <c r="C6" s="296" t="s">
        <v>108</v>
      </c>
      <c r="D6" s="297"/>
      <c r="E6" s="525">
        <v>357170</v>
      </c>
      <c r="F6" s="525">
        <v>293776</v>
      </c>
      <c r="G6" s="525">
        <v>274338</v>
      </c>
      <c r="H6" s="525">
        <v>268998</v>
      </c>
      <c r="I6" s="525">
        <v>275701</v>
      </c>
    </row>
    <row r="7" spans="2:9" s="333" customFormat="1" ht="16.05" customHeight="1" outlineLevel="2" x14ac:dyDescent="0.45">
      <c r="B7" s="300"/>
      <c r="C7" s="301" t="s">
        <v>110</v>
      </c>
      <c r="D7" s="302"/>
      <c r="E7" s="526">
        <v>364832</v>
      </c>
      <c r="F7" s="526">
        <v>325338</v>
      </c>
      <c r="G7" s="526">
        <v>305402</v>
      </c>
      <c r="H7" s="526">
        <v>298971</v>
      </c>
      <c r="I7" s="526">
        <v>318567</v>
      </c>
    </row>
    <row r="8" spans="2:9" s="333" customFormat="1" ht="16.05" customHeight="1" outlineLevel="2" x14ac:dyDescent="0.45">
      <c r="B8" s="305" t="s">
        <v>58</v>
      </c>
      <c r="C8" s="306"/>
      <c r="D8" s="306"/>
      <c r="E8" s="307">
        <v>1888858</v>
      </c>
      <c r="F8" s="307">
        <v>1552691</v>
      </c>
      <c r="G8" s="307">
        <v>1675058</v>
      </c>
      <c r="H8" s="307">
        <v>1140275</v>
      </c>
      <c r="I8" s="307">
        <v>1486260</v>
      </c>
    </row>
    <row r="9" spans="2:9" s="333" customFormat="1" ht="16.05" customHeight="1" outlineLevel="2" x14ac:dyDescent="0.45">
      <c r="B9" s="295"/>
      <c r="C9" s="296" t="s">
        <v>114</v>
      </c>
      <c r="D9" s="297"/>
      <c r="E9" s="525">
        <v>1608170</v>
      </c>
      <c r="F9" s="525">
        <v>1346786</v>
      </c>
      <c r="G9" s="525">
        <v>1466630</v>
      </c>
      <c r="H9" s="525">
        <v>983507</v>
      </c>
      <c r="I9" s="525">
        <v>1308186</v>
      </c>
    </row>
    <row r="10" spans="2:9" s="333" customFormat="1" ht="16.05" customHeight="1" outlineLevel="2" x14ac:dyDescent="0.45">
      <c r="B10" s="295"/>
      <c r="C10" s="309" t="s">
        <v>66</v>
      </c>
      <c r="D10" s="310"/>
      <c r="E10" s="527">
        <v>188828</v>
      </c>
      <c r="F10" s="527">
        <v>140243</v>
      </c>
      <c r="G10" s="527">
        <v>147658</v>
      </c>
      <c r="H10" s="527">
        <v>103294</v>
      </c>
      <c r="I10" s="527">
        <v>124628</v>
      </c>
    </row>
    <row r="11" spans="2:9" s="333" customFormat="1" ht="16.05" customHeight="1" outlineLevel="2" x14ac:dyDescent="0.45">
      <c r="B11" s="295"/>
      <c r="C11" s="309" t="s">
        <v>68</v>
      </c>
      <c r="D11" s="310"/>
      <c r="E11" s="527">
        <v>74796</v>
      </c>
      <c r="F11" s="527">
        <v>48996</v>
      </c>
      <c r="G11" s="527">
        <v>43791</v>
      </c>
      <c r="H11" s="527">
        <v>39960</v>
      </c>
      <c r="I11" s="527">
        <v>38911</v>
      </c>
    </row>
    <row r="12" spans="2:9" s="333" customFormat="1" ht="16.05" customHeight="1" outlineLevel="2" x14ac:dyDescent="0.45">
      <c r="B12" s="295"/>
      <c r="C12" s="301" t="s">
        <v>92</v>
      </c>
      <c r="D12" s="302"/>
      <c r="E12" s="526">
        <v>17064</v>
      </c>
      <c r="F12" s="526">
        <v>16666</v>
      </c>
      <c r="G12" s="526">
        <v>16979</v>
      </c>
      <c r="H12" s="526">
        <v>13514</v>
      </c>
      <c r="I12" s="526">
        <v>14535</v>
      </c>
    </row>
    <row r="13" spans="2:9" s="333" customFormat="1" ht="16.05" customHeight="1" outlineLevel="2" x14ac:dyDescent="0.45">
      <c r="B13" s="291" t="s">
        <v>70</v>
      </c>
      <c r="C13" s="292"/>
      <c r="D13" s="292"/>
      <c r="E13" s="293">
        <v>147759</v>
      </c>
      <c r="F13" s="293">
        <v>95665</v>
      </c>
      <c r="G13" s="293">
        <v>92819</v>
      </c>
      <c r="H13" s="293">
        <v>69246</v>
      </c>
      <c r="I13" s="293">
        <v>81079</v>
      </c>
    </row>
    <row r="14" spans="2:9" s="333" customFormat="1" ht="16.05" customHeight="1" outlineLevel="2" x14ac:dyDescent="0.45">
      <c r="B14" s="313"/>
      <c r="C14" s="296" t="s">
        <v>72</v>
      </c>
      <c r="D14" s="297"/>
      <c r="E14" s="525">
        <v>129130</v>
      </c>
      <c r="F14" s="525">
        <v>84129</v>
      </c>
      <c r="G14" s="525">
        <v>81454</v>
      </c>
      <c r="H14" s="525">
        <v>56702</v>
      </c>
      <c r="I14" s="553">
        <v>72050</v>
      </c>
    </row>
    <row r="15" spans="2:9" s="333" customFormat="1" ht="16.05" customHeight="1" outlineLevel="2" x14ac:dyDescent="0.45">
      <c r="B15" s="314"/>
      <c r="C15" s="301" t="s">
        <v>92</v>
      </c>
      <c r="D15" s="302"/>
      <c r="E15" s="526">
        <v>18629</v>
      </c>
      <c r="F15" s="526">
        <v>11536</v>
      </c>
      <c r="G15" s="526">
        <v>11365</v>
      </c>
      <c r="H15" s="526">
        <v>12544</v>
      </c>
      <c r="I15" s="526">
        <v>9029</v>
      </c>
    </row>
    <row r="16" spans="2:9" s="333" customFormat="1" ht="16.05" customHeight="1" outlineLevel="2" x14ac:dyDescent="0.45">
      <c r="B16" s="291" t="s">
        <v>112</v>
      </c>
      <c r="C16" s="292"/>
      <c r="D16" s="292"/>
      <c r="E16" s="293">
        <v>151119</v>
      </c>
      <c r="F16" s="293">
        <v>108127</v>
      </c>
      <c r="G16" s="293">
        <v>102157</v>
      </c>
      <c r="H16" s="293">
        <v>90333</v>
      </c>
      <c r="I16" s="293">
        <v>83285</v>
      </c>
    </row>
    <row r="17" spans="2:9" s="333" customFormat="1" ht="16.05" customHeight="1" outlineLevel="2" x14ac:dyDescent="0.45">
      <c r="B17" s="295"/>
      <c r="C17" s="296" t="s">
        <v>112</v>
      </c>
      <c r="D17" s="297"/>
      <c r="E17" s="528">
        <v>128195</v>
      </c>
      <c r="F17" s="528">
        <v>83724</v>
      </c>
      <c r="G17" s="528">
        <v>72013</v>
      </c>
      <c r="H17" s="528">
        <v>68021</v>
      </c>
      <c r="I17" s="528">
        <v>61555</v>
      </c>
    </row>
    <row r="18" spans="2:9" s="333" customFormat="1" ht="16.05" customHeight="1" outlineLevel="2" x14ac:dyDescent="0.45">
      <c r="B18" s="295"/>
      <c r="C18" s="309" t="s">
        <v>92</v>
      </c>
      <c r="D18" s="310"/>
      <c r="E18" s="529">
        <v>22924</v>
      </c>
      <c r="F18" s="529">
        <v>24403</v>
      </c>
      <c r="G18" s="529">
        <v>30144</v>
      </c>
      <c r="H18" s="529">
        <v>22312</v>
      </c>
      <c r="I18" s="529">
        <v>21730</v>
      </c>
    </row>
    <row r="19" spans="2:9" s="333" customFormat="1" ht="16.05" customHeight="1" outlineLevel="2" x14ac:dyDescent="0.45">
      <c r="B19" s="291" t="s">
        <v>143</v>
      </c>
      <c r="C19" s="315"/>
      <c r="D19" s="315"/>
      <c r="E19" s="316">
        <v>31914</v>
      </c>
      <c r="F19" s="316">
        <v>23474</v>
      </c>
      <c r="G19" s="316">
        <v>25343</v>
      </c>
      <c r="H19" s="316">
        <v>24488</v>
      </c>
      <c r="I19" s="316">
        <v>22863</v>
      </c>
    </row>
    <row r="20" spans="2:9" s="333" customFormat="1" ht="16.05" customHeight="1" outlineLevel="2" x14ac:dyDescent="0.45">
      <c r="B20" s="291" t="s">
        <v>116</v>
      </c>
      <c r="C20" s="292"/>
      <c r="D20" s="292"/>
      <c r="E20" s="293">
        <v>679888</v>
      </c>
      <c r="F20" s="293">
        <v>431753</v>
      </c>
      <c r="G20" s="293">
        <v>450725</v>
      </c>
      <c r="H20" s="293">
        <v>511097</v>
      </c>
      <c r="I20" s="293">
        <v>485854</v>
      </c>
    </row>
    <row r="21" spans="2:9" s="333" customFormat="1" ht="16.05" customHeight="1" outlineLevel="2" x14ac:dyDescent="0.45">
      <c r="B21" s="295"/>
      <c r="C21" s="296" t="s">
        <v>76</v>
      </c>
      <c r="D21" s="297"/>
      <c r="E21" s="525">
        <v>125833</v>
      </c>
      <c r="F21" s="525">
        <v>93041</v>
      </c>
      <c r="G21" s="525">
        <v>88692</v>
      </c>
      <c r="H21" s="525">
        <v>82842</v>
      </c>
      <c r="I21" s="525">
        <v>94361</v>
      </c>
    </row>
    <row r="22" spans="2:9" s="333" customFormat="1" ht="16.05" customHeight="1" outlineLevel="2" x14ac:dyDescent="0.45">
      <c r="B22" s="295"/>
      <c r="C22" s="309" t="s">
        <v>80</v>
      </c>
      <c r="D22" s="310"/>
      <c r="E22" s="527">
        <v>85418</v>
      </c>
      <c r="F22" s="527">
        <v>60466</v>
      </c>
      <c r="G22" s="527">
        <v>53031</v>
      </c>
      <c r="H22" s="527">
        <v>80288</v>
      </c>
      <c r="I22" s="527">
        <v>80027</v>
      </c>
    </row>
    <row r="23" spans="2:9" s="333" customFormat="1" ht="16.05" customHeight="1" outlineLevel="2" x14ac:dyDescent="0.45">
      <c r="B23" s="295"/>
      <c r="C23" s="309" t="s">
        <v>78</v>
      </c>
      <c r="D23" s="310"/>
      <c r="E23" s="527">
        <v>149439</v>
      </c>
      <c r="F23" s="527">
        <v>79451</v>
      </c>
      <c r="G23" s="527">
        <v>91393</v>
      </c>
      <c r="H23" s="527">
        <v>125411</v>
      </c>
      <c r="I23" s="527">
        <v>128010</v>
      </c>
    </row>
    <row r="24" spans="2:9" s="333" customFormat="1" ht="16.05" customHeight="1" outlineLevel="2" x14ac:dyDescent="0.45">
      <c r="B24" s="295"/>
      <c r="C24" s="309" t="s">
        <v>88</v>
      </c>
      <c r="D24" s="310"/>
      <c r="E24" s="527">
        <v>138347</v>
      </c>
      <c r="F24" s="527">
        <v>70903</v>
      </c>
      <c r="G24" s="527">
        <v>90548</v>
      </c>
      <c r="H24" s="527">
        <v>95534</v>
      </c>
      <c r="I24" s="527">
        <v>80903</v>
      </c>
    </row>
    <row r="25" spans="2:9" s="333" customFormat="1" ht="16.05" customHeight="1" outlineLevel="2" x14ac:dyDescent="0.45">
      <c r="B25" s="300"/>
      <c r="C25" s="301" t="s">
        <v>92</v>
      </c>
      <c r="D25" s="302"/>
      <c r="E25" s="526">
        <v>180851</v>
      </c>
      <c r="F25" s="526">
        <v>127892</v>
      </c>
      <c r="G25" s="526">
        <v>127061</v>
      </c>
      <c r="H25" s="526">
        <v>127022</v>
      </c>
      <c r="I25" s="526">
        <v>102553</v>
      </c>
    </row>
    <row r="26" spans="2:9" s="333" customFormat="1" ht="16.05" customHeight="1" outlineLevel="2" x14ac:dyDescent="0.45">
      <c r="B26" s="291" t="s">
        <v>90</v>
      </c>
      <c r="C26" s="292"/>
      <c r="D26" s="292"/>
      <c r="E26" s="293">
        <v>1556893</v>
      </c>
      <c r="F26" s="293">
        <v>1629459</v>
      </c>
      <c r="G26" s="293">
        <v>1564032</v>
      </c>
      <c r="H26" s="293">
        <v>1374828</v>
      </c>
      <c r="I26" s="293">
        <v>1236204</v>
      </c>
    </row>
    <row r="27" spans="2:9" s="333" customFormat="1" ht="16.05" customHeight="1" outlineLevel="2" x14ac:dyDescent="0.45">
      <c r="B27" s="295"/>
      <c r="C27" s="318" t="s">
        <v>38</v>
      </c>
      <c r="D27" s="319" t="s">
        <v>94</v>
      </c>
      <c r="E27" s="525">
        <v>763977</v>
      </c>
      <c r="F27" s="525">
        <v>806186</v>
      </c>
      <c r="G27" s="525">
        <v>768268</v>
      </c>
      <c r="H27" s="525">
        <v>720708</v>
      </c>
      <c r="I27" s="525">
        <v>620413</v>
      </c>
    </row>
    <row r="28" spans="2:9" s="333" customFormat="1" ht="16.05" customHeight="1" outlineLevel="2" x14ac:dyDescent="0.45">
      <c r="B28" s="295"/>
      <c r="C28" s="320"/>
      <c r="D28" s="321" t="s">
        <v>96</v>
      </c>
      <c r="E28" s="530">
        <v>788916</v>
      </c>
      <c r="F28" s="530">
        <v>820383</v>
      </c>
      <c r="G28" s="530">
        <v>793273</v>
      </c>
      <c r="H28" s="530">
        <v>652406</v>
      </c>
      <c r="I28" s="530">
        <v>613728</v>
      </c>
    </row>
    <row r="29" spans="2:9" s="333" customFormat="1" ht="16.05" customHeight="1" outlineLevel="2" x14ac:dyDescent="0.45">
      <c r="B29" s="295"/>
      <c r="C29" s="324" t="s">
        <v>92</v>
      </c>
      <c r="D29" s="325"/>
      <c r="E29" s="531">
        <v>4000</v>
      </c>
      <c r="F29" s="531">
        <v>2890</v>
      </c>
      <c r="G29" s="531">
        <v>2491</v>
      </c>
      <c r="H29" s="531">
        <v>1714</v>
      </c>
      <c r="I29" s="531">
        <v>2063</v>
      </c>
    </row>
    <row r="30" spans="2:9" s="333" customFormat="1" ht="7.05" customHeight="1" outlineLevel="2" thickBot="1" x14ac:dyDescent="0.5">
      <c r="B30" s="328"/>
      <c r="C30" s="329"/>
      <c r="D30" s="329"/>
      <c r="E30" s="329"/>
      <c r="F30" s="329"/>
      <c r="G30" s="329"/>
      <c r="H30" s="329"/>
      <c r="I30" s="329"/>
    </row>
    <row r="31" spans="2:9" s="333" customFormat="1" ht="16.05" customHeight="1" outlineLevel="2" thickBot="1" x14ac:dyDescent="0.5">
      <c r="B31" s="331" t="s">
        <v>118</v>
      </c>
      <c r="C31" s="332"/>
      <c r="D31" s="332"/>
      <c r="E31" s="510">
        <v>5178434</v>
      </c>
      <c r="F31" s="510">
        <v>4460284</v>
      </c>
      <c r="G31" s="510">
        <v>4489874</v>
      </c>
      <c r="H31" s="537">
        <v>3778236</v>
      </c>
      <c r="I31" s="511">
        <v>3989812</v>
      </c>
    </row>
    <row r="32" spans="2:9" s="333" customFormat="1" ht="16.05" customHeight="1" outlineLevel="2" x14ac:dyDescent="0.45">
      <c r="E32" s="346"/>
      <c r="F32" s="346"/>
      <c r="G32" s="346"/>
      <c r="H32" s="346"/>
      <c r="I32" s="346"/>
    </row>
    <row r="33" spans="2:9" s="333" customFormat="1" ht="16.05" customHeight="1" outlineLevel="2" x14ac:dyDescent="0.45">
      <c r="B33" s="291" t="s">
        <v>120</v>
      </c>
      <c r="C33" s="292"/>
      <c r="D33" s="292"/>
      <c r="E33" s="293">
        <v>3359721</v>
      </c>
      <c r="F33" s="293">
        <v>2834404</v>
      </c>
      <c r="G33" s="293">
        <v>2869157</v>
      </c>
      <c r="H33" s="293">
        <v>2277581</v>
      </c>
      <c r="I33" s="293">
        <v>2207474</v>
      </c>
    </row>
    <row r="34" spans="2:9" s="333" customFormat="1" ht="16.05" customHeight="1" outlineLevel="2" x14ac:dyDescent="0.45">
      <c r="B34" s="334"/>
      <c r="C34" s="296" t="s">
        <v>122</v>
      </c>
      <c r="D34" s="297"/>
      <c r="E34" s="525">
        <v>523310</v>
      </c>
      <c r="F34" s="525">
        <v>443644</v>
      </c>
      <c r="G34" s="525">
        <v>427747</v>
      </c>
      <c r="H34" s="525">
        <v>400686</v>
      </c>
      <c r="I34" s="525">
        <v>396197</v>
      </c>
    </row>
    <row r="35" spans="2:9" s="333" customFormat="1" ht="16.05" customHeight="1" outlineLevel="2" x14ac:dyDescent="0.45">
      <c r="B35" s="334"/>
      <c r="C35" s="309" t="s">
        <v>124</v>
      </c>
      <c r="D35" s="310"/>
      <c r="E35" s="527">
        <v>807078</v>
      </c>
      <c r="F35" s="527">
        <v>682456</v>
      </c>
      <c r="G35" s="527">
        <v>592262</v>
      </c>
      <c r="H35" s="527">
        <v>377213</v>
      </c>
      <c r="I35" s="527">
        <v>472928</v>
      </c>
    </row>
    <row r="36" spans="2:9" s="333" customFormat="1" ht="16.05" customHeight="1" outlineLevel="2" x14ac:dyDescent="0.45">
      <c r="B36" s="334"/>
      <c r="C36" s="309" t="s">
        <v>126</v>
      </c>
      <c r="D36" s="310"/>
      <c r="E36" s="527">
        <v>819856</v>
      </c>
      <c r="F36" s="527">
        <v>731954</v>
      </c>
      <c r="G36" s="527">
        <v>741002</v>
      </c>
      <c r="H36" s="527">
        <v>596595</v>
      </c>
      <c r="I36" s="527">
        <v>720135</v>
      </c>
    </row>
    <row r="37" spans="2:9" s="333" customFormat="1" ht="16.05" customHeight="1" outlineLevel="2" x14ac:dyDescent="0.45">
      <c r="B37" s="335"/>
      <c r="C37" s="301" t="s">
        <v>128</v>
      </c>
      <c r="D37" s="302"/>
      <c r="E37" s="526">
        <v>1209477</v>
      </c>
      <c r="F37" s="526">
        <v>976350</v>
      </c>
      <c r="G37" s="526">
        <v>1108146</v>
      </c>
      <c r="H37" s="526">
        <v>903087</v>
      </c>
      <c r="I37" s="526">
        <v>618214</v>
      </c>
    </row>
    <row r="38" spans="2:9" s="333" customFormat="1" ht="16.05" customHeight="1" outlineLevel="2" x14ac:dyDescent="0.45">
      <c r="B38" s="336"/>
      <c r="C38" s="573" t="s">
        <v>144</v>
      </c>
      <c r="D38" s="337"/>
      <c r="E38" s="532"/>
      <c r="F38" s="532"/>
      <c r="G38" s="532"/>
      <c r="H38" s="532"/>
      <c r="I38" s="532"/>
    </row>
    <row r="39" spans="2:9" s="533" customFormat="1" ht="16.05" customHeight="1" outlineLevel="1" thickBot="1" x14ac:dyDescent="0.5"/>
    <row r="40" spans="2:9" s="533" customFormat="1" ht="16.05" customHeight="1" outlineLevel="1" thickBot="1" x14ac:dyDescent="0.5">
      <c r="B40" s="385" t="s">
        <v>131</v>
      </c>
      <c r="C40" s="332"/>
      <c r="D40" s="332"/>
      <c r="E40" s="516">
        <v>395342</v>
      </c>
      <c r="F40" s="516">
        <v>484097</v>
      </c>
      <c r="G40" s="516">
        <v>591497</v>
      </c>
      <c r="H40" s="516">
        <v>662135</v>
      </c>
      <c r="I40" s="538">
        <v>846594</v>
      </c>
    </row>
    <row r="41" spans="2:9" s="533" customFormat="1" ht="16.05" customHeight="1" x14ac:dyDescent="0.45">
      <c r="B41" s="386"/>
      <c r="C41" s="387" t="s">
        <v>46</v>
      </c>
      <c r="D41" s="378"/>
      <c r="E41" s="388">
        <v>380483</v>
      </c>
      <c r="F41" s="389">
        <v>465187</v>
      </c>
      <c r="G41" s="371">
        <v>562008</v>
      </c>
      <c r="H41" s="371">
        <v>626516</v>
      </c>
      <c r="I41" s="534">
        <v>805410</v>
      </c>
    </row>
    <row r="42" spans="2:9" s="533" customFormat="1" ht="16.05" customHeight="1" x14ac:dyDescent="0.45">
      <c r="B42" s="386"/>
      <c r="C42" s="391" t="s">
        <v>49</v>
      </c>
      <c r="D42" s="380"/>
      <c r="E42" s="375">
        <v>13048</v>
      </c>
      <c r="F42" s="392">
        <v>4649</v>
      </c>
      <c r="G42" s="381">
        <v>14871</v>
      </c>
      <c r="H42" s="381">
        <v>13103</v>
      </c>
      <c r="I42" s="535">
        <v>22017</v>
      </c>
    </row>
    <row r="43" spans="2:9" s="533" customFormat="1" ht="16.05" customHeight="1" thickBot="1" x14ac:dyDescent="0.5">
      <c r="B43" s="394"/>
      <c r="C43" s="395" t="s">
        <v>54</v>
      </c>
      <c r="D43" s="396"/>
      <c r="E43" s="397">
        <v>1811</v>
      </c>
      <c r="F43" s="398">
        <v>14261</v>
      </c>
      <c r="G43" s="397">
        <v>14618</v>
      </c>
      <c r="H43" s="397">
        <v>22516</v>
      </c>
      <c r="I43" s="536">
        <v>19167</v>
      </c>
    </row>
  </sheetData>
  <mergeCells count="2">
    <mergeCell ref="B3:C3"/>
    <mergeCell ref="B4:D4"/>
  </mergeCells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F6D7-5C00-45C5-AF59-8D7AD209EE06}">
  <dimension ref="B1:I20"/>
  <sheetViews>
    <sheetView showGridLines="0" zoomScale="85" zoomScaleNormal="85" workbookViewId="0">
      <selection activeCell="F2" sqref="F2"/>
    </sheetView>
  </sheetViews>
  <sheetFormatPr defaultColWidth="8.09765625" defaultRowHeight="15" x14ac:dyDescent="0.45"/>
  <cols>
    <col min="1" max="1" width="1.59765625" style="92" customWidth="1"/>
    <col min="2" max="2" width="8.59765625" style="92" customWidth="1"/>
    <col min="3" max="3" width="19.09765625" style="92" customWidth="1"/>
    <col min="4" max="4" width="11.59765625" style="92" bestFit="1" customWidth="1"/>
    <col min="5" max="8" width="10.5" style="92" customWidth="1"/>
    <col min="9" max="16384" width="8.09765625" style="92"/>
  </cols>
  <sheetData>
    <row r="1" spans="2:9" s="90" customFormat="1" ht="18.600000000000001" x14ac:dyDescent="0.45">
      <c r="B1" s="91"/>
      <c r="C1" s="91"/>
      <c r="E1" s="92"/>
    </row>
    <row r="2" spans="2:9" ht="22.8" customHeight="1" x14ac:dyDescent="0.45">
      <c r="B2" s="175" t="s">
        <v>136</v>
      </c>
      <c r="C2" s="93"/>
    </row>
    <row r="3" spans="2:9" s="94" customFormat="1" ht="16.05" customHeight="1" x14ac:dyDescent="0.3">
      <c r="H3" s="509" t="s">
        <v>104</v>
      </c>
    </row>
    <row r="4" spans="2:9" s="94" customFormat="1" ht="16.05" customHeight="1" x14ac:dyDescent="0.45">
      <c r="B4" s="625" t="s">
        <v>35</v>
      </c>
      <c r="C4" s="626"/>
      <c r="D4" s="546">
        <v>2019</v>
      </c>
      <c r="E4" s="546">
        <v>2020</v>
      </c>
      <c r="F4" s="546">
        <v>2021</v>
      </c>
      <c r="G4" s="546">
        <v>2022</v>
      </c>
      <c r="H4" s="546">
        <v>2023</v>
      </c>
    </row>
    <row r="5" spans="2:9" s="94" customFormat="1" ht="16.05" customHeight="1" x14ac:dyDescent="0.45">
      <c r="B5" s="547" t="s">
        <v>59</v>
      </c>
      <c r="C5" s="496"/>
      <c r="D5" s="548">
        <f t="shared" ref="D5:F5" si="0">D16</f>
        <v>28057</v>
      </c>
      <c r="E5" s="548">
        <f t="shared" si="0"/>
        <v>5650</v>
      </c>
      <c r="F5" s="548">
        <f t="shared" si="0"/>
        <v>10585</v>
      </c>
      <c r="G5" s="548">
        <v>1631</v>
      </c>
      <c r="H5" s="548">
        <v>4961</v>
      </c>
    </row>
    <row r="6" spans="2:9" s="94" customFormat="1" ht="16.05" customHeight="1" x14ac:dyDescent="0.45">
      <c r="B6" s="494"/>
      <c r="C6" s="461" t="s">
        <v>132</v>
      </c>
      <c r="D6" s="549">
        <f t="shared" ref="D6:F6" si="1">D17</f>
        <v>27126</v>
      </c>
      <c r="E6" s="549">
        <f t="shared" si="1"/>
        <v>5000</v>
      </c>
      <c r="F6" s="549">
        <f t="shared" si="1"/>
        <v>10532</v>
      </c>
      <c r="G6" s="549">
        <v>1532</v>
      </c>
      <c r="H6" s="549">
        <v>4757</v>
      </c>
    </row>
    <row r="7" spans="2:9" s="94" customFormat="1" ht="16.05" customHeight="1" x14ac:dyDescent="0.45">
      <c r="B7" s="495" t="s">
        <v>113</v>
      </c>
      <c r="C7" s="496"/>
      <c r="D7" s="548">
        <f t="shared" ref="D7:F7" si="2">D18</f>
        <v>82800</v>
      </c>
      <c r="E7" s="548">
        <f t="shared" si="2"/>
        <v>71945</v>
      </c>
      <c r="F7" s="548">
        <f t="shared" si="2"/>
        <v>41113</v>
      </c>
      <c r="G7" s="548">
        <v>60399</v>
      </c>
      <c r="H7" s="548">
        <v>54631</v>
      </c>
    </row>
    <row r="8" spans="2:9" s="94" customFormat="1" ht="16.05" customHeight="1" x14ac:dyDescent="0.45">
      <c r="B8" s="495" t="s">
        <v>133</v>
      </c>
      <c r="C8" s="496"/>
      <c r="D8" s="548">
        <f t="shared" ref="D8:F8" si="3">D19</f>
        <v>9802</v>
      </c>
      <c r="E8" s="548">
        <f t="shared" si="3"/>
        <v>6946</v>
      </c>
      <c r="F8" s="548">
        <f t="shared" si="3"/>
        <v>6818</v>
      </c>
      <c r="G8" s="548">
        <v>2446</v>
      </c>
      <c r="H8" s="548">
        <v>6410</v>
      </c>
    </row>
    <row r="9" spans="2:9" s="94" customFormat="1" ht="16.05" customHeight="1" x14ac:dyDescent="0.45">
      <c r="B9" s="492" t="s">
        <v>134</v>
      </c>
      <c r="C9" s="496"/>
      <c r="D9" s="548">
        <f t="shared" ref="D9:F9" si="4">D20</f>
        <v>10663</v>
      </c>
      <c r="E9" s="548">
        <f t="shared" si="4"/>
        <v>7640</v>
      </c>
      <c r="F9" s="548">
        <f t="shared" si="4"/>
        <v>8158</v>
      </c>
      <c r="G9" s="548">
        <v>12228</v>
      </c>
      <c r="H9" s="548">
        <v>19297</v>
      </c>
    </row>
    <row r="10" spans="2:9" s="94" customFormat="1" ht="16.05" customHeight="1" thickBot="1" x14ac:dyDescent="0.5">
      <c r="B10" s="465"/>
      <c r="C10" s="465"/>
    </row>
    <row r="11" spans="2:9" s="94" customFormat="1" ht="16.05" customHeight="1" thickBot="1" x14ac:dyDescent="0.5">
      <c r="B11" s="468" t="s">
        <v>135</v>
      </c>
      <c r="C11" s="469"/>
      <c r="D11" s="550">
        <f t="shared" ref="D11:F11" si="5">D15</f>
        <v>131322</v>
      </c>
      <c r="E11" s="550">
        <f t="shared" si="5"/>
        <v>92181</v>
      </c>
      <c r="F11" s="550">
        <f t="shared" si="5"/>
        <v>66674</v>
      </c>
      <c r="G11" s="551">
        <v>76704</v>
      </c>
      <c r="H11" s="551">
        <v>85299</v>
      </c>
      <c r="I11" s="552"/>
    </row>
    <row r="12" spans="2:9" s="94" customFormat="1" ht="16.05" customHeight="1" x14ac:dyDescent="0.45">
      <c r="B12" s="491" t="s">
        <v>44</v>
      </c>
    </row>
    <row r="13" spans="2:9" s="94" customFormat="1" ht="16.05" customHeight="1" x14ac:dyDescent="0.45">
      <c r="B13" s="94" t="s">
        <v>142</v>
      </c>
    </row>
    <row r="14" spans="2:9" hidden="1" x14ac:dyDescent="0.45">
      <c r="B14" s="95" t="s">
        <v>35</v>
      </c>
      <c r="C14" s="95"/>
      <c r="D14" s="95">
        <v>2019</v>
      </c>
      <c r="E14" s="95">
        <v>2020</v>
      </c>
      <c r="F14" s="95">
        <v>2021</v>
      </c>
      <c r="G14" s="95"/>
      <c r="H14" s="95">
        <v>2022</v>
      </c>
    </row>
    <row r="15" spans="2:9" ht="15.6" hidden="1" thickBot="1" x14ac:dyDescent="0.5">
      <c r="B15" s="96" t="s">
        <v>14</v>
      </c>
      <c r="C15" s="96"/>
      <c r="D15" s="97">
        <v>131322</v>
      </c>
      <c r="E15" s="97">
        <v>92181</v>
      </c>
      <c r="F15" s="97">
        <v>66674</v>
      </c>
      <c r="G15" s="97"/>
      <c r="H15" s="97">
        <v>76704</v>
      </c>
    </row>
    <row r="16" spans="2:9" ht="30" hidden="1" x14ac:dyDescent="0.45">
      <c r="B16" s="98" t="s">
        <v>15</v>
      </c>
      <c r="C16" s="98"/>
      <c r="D16" s="99">
        <v>28057</v>
      </c>
      <c r="E16" s="99">
        <v>5650</v>
      </c>
      <c r="F16" s="99">
        <v>10585</v>
      </c>
      <c r="G16" s="99"/>
      <c r="H16" s="99">
        <v>1631</v>
      </c>
    </row>
    <row r="17" spans="2:8" hidden="1" x14ac:dyDescent="0.45">
      <c r="B17" s="100" t="s">
        <v>16</v>
      </c>
      <c r="C17" s="100"/>
      <c r="D17" s="101">
        <v>27126</v>
      </c>
      <c r="E17" s="101">
        <v>5000</v>
      </c>
      <c r="F17" s="101">
        <v>10532</v>
      </c>
      <c r="G17" s="101"/>
      <c r="H17" s="101">
        <v>1532</v>
      </c>
    </row>
    <row r="18" spans="2:8" hidden="1" x14ac:dyDescent="0.45">
      <c r="B18" s="102" t="s">
        <v>17</v>
      </c>
      <c r="C18" s="102"/>
      <c r="D18" s="101">
        <v>82800</v>
      </c>
      <c r="E18" s="101">
        <v>71945</v>
      </c>
      <c r="F18" s="101">
        <v>41113</v>
      </c>
      <c r="G18" s="101"/>
      <c r="H18" s="101">
        <v>60399</v>
      </c>
    </row>
    <row r="19" spans="2:8" hidden="1" x14ac:dyDescent="0.45">
      <c r="B19" s="102" t="s">
        <v>18</v>
      </c>
      <c r="C19" s="102"/>
      <c r="D19" s="101">
        <v>9802</v>
      </c>
      <c r="E19" s="101">
        <v>6946</v>
      </c>
      <c r="F19" s="101">
        <v>6818</v>
      </c>
      <c r="G19" s="101"/>
      <c r="H19" s="101">
        <v>2446</v>
      </c>
    </row>
    <row r="20" spans="2:8" hidden="1" x14ac:dyDescent="0.45">
      <c r="B20" s="102" t="s">
        <v>19</v>
      </c>
      <c r="C20" s="102"/>
      <c r="D20" s="101">
        <v>10663</v>
      </c>
      <c r="E20" s="101">
        <v>7640</v>
      </c>
      <c r="F20" s="101">
        <v>8158</v>
      </c>
      <c r="G20" s="101"/>
      <c r="H20" s="101">
        <v>12228</v>
      </c>
    </row>
  </sheetData>
  <mergeCells count="1">
    <mergeCell ref="B4:C4"/>
  </mergeCells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7615-6093-4D73-A07F-FF2EAE3FDE9B}">
  <sheetPr>
    <pageSetUpPr fitToPage="1"/>
  </sheetPr>
  <dimension ref="A1:O243"/>
  <sheetViews>
    <sheetView showGridLines="0" zoomScale="85" zoomScaleNormal="85" workbookViewId="0">
      <selection activeCell="F3" sqref="F3"/>
    </sheetView>
  </sheetViews>
  <sheetFormatPr defaultColWidth="8.09765625" defaultRowHeight="13.8" x14ac:dyDescent="0.45"/>
  <cols>
    <col min="1" max="1" width="19.09765625" style="46" customWidth="1"/>
    <col min="2" max="13" width="9.296875" style="46" customWidth="1"/>
    <col min="14" max="14" width="3.09765625" style="46" customWidth="1"/>
    <col min="15" max="16384" width="8.09765625" style="46"/>
  </cols>
  <sheetData>
    <row r="1" spans="1:13" s="45" customFormat="1" ht="17.399999999999999" x14ac:dyDescent="0.45">
      <c r="A1" s="44" t="s">
        <v>21</v>
      </c>
      <c r="I1" s="46"/>
    </row>
    <row r="2" spans="1:13" ht="13.8" customHeight="1" x14ac:dyDescent="0.45"/>
    <row r="3" spans="1:13" s="48" customFormat="1" ht="13.8" customHeight="1" x14ac:dyDescent="0.45">
      <c r="A3" s="47" t="s">
        <v>22</v>
      </c>
      <c r="I3" s="46"/>
    </row>
    <row r="4" spans="1:13" ht="6.75" customHeight="1" x14ac:dyDescent="0.45"/>
    <row r="5" spans="1:13" ht="13.8" customHeight="1" x14ac:dyDescent="0.45">
      <c r="A5" s="49">
        <v>2013</v>
      </c>
      <c r="B5" s="49" t="s">
        <v>3</v>
      </c>
      <c r="C5" s="49" t="s">
        <v>4</v>
      </c>
      <c r="D5" s="49" t="s">
        <v>5</v>
      </c>
      <c r="E5" s="49" t="s">
        <v>6</v>
      </c>
      <c r="F5" s="49" t="s">
        <v>1</v>
      </c>
      <c r="G5" s="49" t="s">
        <v>7</v>
      </c>
      <c r="H5" s="49" t="s">
        <v>8</v>
      </c>
      <c r="I5" s="49" t="s">
        <v>9</v>
      </c>
      <c r="J5" s="49" t="s">
        <v>10</v>
      </c>
      <c r="K5" s="49" t="s">
        <v>11</v>
      </c>
      <c r="L5" s="49" t="s">
        <v>12</v>
      </c>
      <c r="M5" s="49" t="s">
        <v>13</v>
      </c>
    </row>
    <row r="6" spans="1:13" s="53" customFormat="1" ht="13.8" customHeight="1" x14ac:dyDescent="0.45">
      <c r="A6" s="50" t="s">
        <v>23</v>
      </c>
      <c r="B6" s="51">
        <v>58772</v>
      </c>
      <c r="C6" s="51">
        <v>60392</v>
      </c>
      <c r="D6" s="51">
        <v>61666</v>
      </c>
      <c r="E6" s="51">
        <v>57058</v>
      </c>
      <c r="F6" s="51">
        <v>53400</v>
      </c>
      <c r="G6" s="52">
        <v>59427</v>
      </c>
      <c r="H6" s="52">
        <v>66368</v>
      </c>
      <c r="I6" s="52">
        <v>62129</v>
      </c>
      <c r="J6" s="52">
        <v>80206</v>
      </c>
      <c r="K6" s="52">
        <v>90707</v>
      </c>
      <c r="L6" s="52">
        <v>96835</v>
      </c>
      <c r="M6" s="52">
        <v>93690</v>
      </c>
    </row>
    <row r="7" spans="1:13" s="53" customFormat="1" ht="13.8" customHeight="1" thickBot="1" x14ac:dyDescent="0.5">
      <c r="A7" s="54" t="s">
        <v>24</v>
      </c>
      <c r="B7" s="55">
        <v>284036</v>
      </c>
      <c r="C7" s="55">
        <v>267906</v>
      </c>
      <c r="D7" s="55">
        <v>295771</v>
      </c>
      <c r="E7" s="55">
        <v>297657</v>
      </c>
      <c r="F7" s="55">
        <v>294282</v>
      </c>
      <c r="G7" s="56">
        <v>280454</v>
      </c>
      <c r="H7" s="56">
        <v>272565</v>
      </c>
      <c r="I7" s="56">
        <v>277801</v>
      </c>
      <c r="J7" s="56">
        <v>302551</v>
      </c>
      <c r="K7" s="56">
        <v>328517</v>
      </c>
      <c r="L7" s="56">
        <v>301392</v>
      </c>
      <c r="M7" s="56">
        <v>254798</v>
      </c>
    </row>
    <row r="8" spans="1:13" ht="13.8" customHeight="1" x14ac:dyDescent="0.45">
      <c r="A8" s="57" t="s">
        <v>25</v>
      </c>
      <c r="B8" s="58">
        <v>150666</v>
      </c>
      <c r="C8" s="58">
        <v>154840</v>
      </c>
      <c r="D8" s="58">
        <v>150823</v>
      </c>
      <c r="E8" s="58">
        <v>160764</v>
      </c>
      <c r="F8" s="58">
        <v>155507</v>
      </c>
      <c r="G8" s="59">
        <v>141229</v>
      </c>
      <c r="H8" s="59">
        <v>127739</v>
      </c>
      <c r="I8" s="59">
        <v>161057</v>
      </c>
      <c r="J8" s="59">
        <v>147010</v>
      </c>
      <c r="K8" s="59">
        <v>173155</v>
      </c>
      <c r="L8" s="59">
        <v>145605</v>
      </c>
      <c r="M8" s="59">
        <v>112818</v>
      </c>
    </row>
    <row r="9" spans="1:13" ht="13.8" customHeight="1" thickBot="1" x14ac:dyDescent="0.5">
      <c r="A9" s="60" t="s">
        <v>16</v>
      </c>
      <c r="B9" s="61">
        <v>107061</v>
      </c>
      <c r="C9" s="61">
        <v>116519</v>
      </c>
      <c r="D9" s="62">
        <v>110274</v>
      </c>
      <c r="E9" s="61">
        <v>118306</v>
      </c>
      <c r="F9" s="61">
        <v>114403</v>
      </c>
      <c r="G9" s="63">
        <v>100327</v>
      </c>
      <c r="H9" s="63">
        <v>93262</v>
      </c>
      <c r="I9" s="63">
        <v>121208</v>
      </c>
      <c r="J9" s="63">
        <v>108751</v>
      </c>
      <c r="K9" s="63">
        <v>129157</v>
      </c>
      <c r="L9" s="63">
        <v>105835</v>
      </c>
      <c r="M9" s="63">
        <v>84814</v>
      </c>
    </row>
    <row r="10" spans="1:13" ht="13.8" customHeight="1" thickBot="1" x14ac:dyDescent="0.5">
      <c r="A10" s="64" t="s">
        <v>17</v>
      </c>
      <c r="B10" s="65">
        <v>18983</v>
      </c>
      <c r="C10" s="65">
        <v>16642</v>
      </c>
      <c r="D10" s="65">
        <v>11690</v>
      </c>
      <c r="E10" s="65">
        <v>7281</v>
      </c>
      <c r="F10" s="65">
        <v>7452</v>
      </c>
      <c r="G10" s="66">
        <v>9200</v>
      </c>
      <c r="H10" s="66">
        <v>12003</v>
      </c>
      <c r="I10" s="66">
        <v>5752</v>
      </c>
      <c r="J10" s="66">
        <v>12648</v>
      </c>
      <c r="K10" s="66">
        <v>13398</v>
      </c>
      <c r="L10" s="66">
        <v>14544</v>
      </c>
      <c r="M10" s="66">
        <v>10501</v>
      </c>
    </row>
    <row r="11" spans="1:13" ht="13.8" customHeight="1" x14ac:dyDescent="0.45">
      <c r="A11" s="67" t="s">
        <v>18</v>
      </c>
      <c r="B11" s="68">
        <v>101442</v>
      </c>
      <c r="C11" s="68">
        <v>82713</v>
      </c>
      <c r="D11" s="68">
        <v>119051</v>
      </c>
      <c r="E11" s="68">
        <v>115784</v>
      </c>
      <c r="F11" s="68">
        <v>116857</v>
      </c>
      <c r="G11" s="69">
        <v>116041</v>
      </c>
      <c r="H11" s="69">
        <v>122180</v>
      </c>
      <c r="I11" s="69">
        <v>95978</v>
      </c>
      <c r="J11" s="69">
        <v>127567</v>
      </c>
      <c r="K11" s="69">
        <v>126828</v>
      </c>
      <c r="L11" s="69">
        <v>128990</v>
      </c>
      <c r="M11" s="69">
        <v>120740</v>
      </c>
    </row>
    <row r="12" spans="1:13" ht="13.8" customHeight="1" thickBot="1" x14ac:dyDescent="0.5">
      <c r="A12" s="70" t="s">
        <v>26</v>
      </c>
      <c r="B12" s="71">
        <v>52005</v>
      </c>
      <c r="C12" s="71">
        <v>33435</v>
      </c>
      <c r="D12" s="71">
        <v>65659</v>
      </c>
      <c r="E12" s="71">
        <v>64920</v>
      </c>
      <c r="F12" s="71">
        <v>59268</v>
      </c>
      <c r="G12" s="72">
        <v>62144</v>
      </c>
      <c r="H12" s="72">
        <v>67667</v>
      </c>
      <c r="I12" s="72">
        <v>57983</v>
      </c>
      <c r="J12" s="72">
        <v>75361</v>
      </c>
      <c r="K12" s="72">
        <v>79365</v>
      </c>
      <c r="L12" s="72">
        <v>85644</v>
      </c>
      <c r="M12" s="72">
        <v>84710</v>
      </c>
    </row>
    <row r="13" spans="1:13" ht="13.8" customHeight="1" thickBot="1" x14ac:dyDescent="0.5">
      <c r="A13" s="64" t="s">
        <v>19</v>
      </c>
      <c r="B13" s="65">
        <v>12945</v>
      </c>
      <c r="C13" s="65">
        <v>13711</v>
      </c>
      <c r="D13" s="65">
        <v>14207</v>
      </c>
      <c r="E13" s="65">
        <v>13828</v>
      </c>
      <c r="F13" s="65">
        <v>14466</v>
      </c>
      <c r="G13" s="66">
        <v>13984</v>
      </c>
      <c r="H13" s="66">
        <v>10643</v>
      </c>
      <c r="I13" s="66">
        <v>15014</v>
      </c>
      <c r="J13" s="66">
        <v>15326</v>
      </c>
      <c r="K13" s="66">
        <v>15136</v>
      </c>
      <c r="L13" s="66">
        <v>12253</v>
      </c>
      <c r="M13" s="66">
        <v>10739</v>
      </c>
    </row>
    <row r="14" spans="1:13" s="53" customFormat="1" ht="13.8" customHeight="1" x14ac:dyDescent="0.45">
      <c r="A14" s="73" t="s">
        <v>27</v>
      </c>
      <c r="B14" s="37">
        <v>342808</v>
      </c>
      <c r="C14" s="37">
        <v>328298</v>
      </c>
      <c r="D14" s="37">
        <v>357437</v>
      </c>
      <c r="E14" s="37">
        <v>354715</v>
      </c>
      <c r="F14" s="37">
        <v>347682</v>
      </c>
      <c r="G14" s="74">
        <v>339881</v>
      </c>
      <c r="H14" s="74">
        <v>338933</v>
      </c>
      <c r="I14" s="74">
        <v>339930</v>
      </c>
      <c r="J14" s="74">
        <v>382757</v>
      </c>
      <c r="K14" s="74">
        <v>419224</v>
      </c>
      <c r="L14" s="74">
        <v>398227</v>
      </c>
      <c r="M14" s="74">
        <v>348488</v>
      </c>
    </row>
    <row r="15" spans="1:13" ht="13.8" customHeight="1" x14ac:dyDescent="0.45">
      <c r="A15" s="49">
        <v>2014</v>
      </c>
      <c r="B15" s="49" t="s">
        <v>3</v>
      </c>
      <c r="C15" s="49" t="s">
        <v>4</v>
      </c>
      <c r="D15" s="49" t="s">
        <v>5</v>
      </c>
      <c r="E15" s="49" t="s">
        <v>6</v>
      </c>
      <c r="F15" s="49" t="s">
        <v>1</v>
      </c>
      <c r="G15" s="49" t="s">
        <v>7</v>
      </c>
      <c r="H15" s="49" t="s">
        <v>8</v>
      </c>
      <c r="I15" s="49" t="s">
        <v>9</v>
      </c>
      <c r="J15" s="49" t="s">
        <v>10</v>
      </c>
      <c r="K15" s="49" t="s">
        <v>11</v>
      </c>
      <c r="L15" s="49" t="s">
        <v>12</v>
      </c>
      <c r="M15" s="49" t="s">
        <v>13</v>
      </c>
    </row>
    <row r="16" spans="1:13" s="53" customFormat="1" ht="13.8" customHeight="1" x14ac:dyDescent="0.45">
      <c r="A16" s="50" t="s">
        <v>23</v>
      </c>
      <c r="B16" s="51">
        <v>97145</v>
      </c>
      <c r="C16" s="51">
        <v>84883</v>
      </c>
      <c r="D16" s="51">
        <v>95031</v>
      </c>
      <c r="E16" s="51">
        <v>78809</v>
      </c>
      <c r="F16" s="51">
        <v>80500</v>
      </c>
      <c r="G16" s="52">
        <v>87639</v>
      </c>
      <c r="H16" s="52">
        <v>84898</v>
      </c>
      <c r="I16" s="52">
        <v>59232</v>
      </c>
      <c r="J16" s="52">
        <v>76997</v>
      </c>
      <c r="K16" s="52">
        <v>75994</v>
      </c>
      <c r="L16" s="52">
        <v>62044</v>
      </c>
      <c r="M16" s="52">
        <v>75007</v>
      </c>
    </row>
    <row r="17" spans="1:13" s="53" customFormat="1" ht="13.8" customHeight="1" thickBot="1" x14ac:dyDescent="0.5">
      <c r="A17" s="54" t="s">
        <v>24</v>
      </c>
      <c r="B17" s="55">
        <v>281672</v>
      </c>
      <c r="C17" s="55">
        <v>267941</v>
      </c>
      <c r="D17" s="55">
        <v>306576</v>
      </c>
      <c r="E17" s="55">
        <v>305602</v>
      </c>
      <c r="F17" s="55">
        <v>299966</v>
      </c>
      <c r="G17" s="56">
        <v>301742</v>
      </c>
      <c r="H17" s="56">
        <v>278599</v>
      </c>
      <c r="I17" s="56">
        <v>284310</v>
      </c>
      <c r="J17" s="56">
        <v>313270</v>
      </c>
      <c r="K17" s="56">
        <v>326633</v>
      </c>
      <c r="L17" s="56">
        <v>309215</v>
      </c>
      <c r="M17" s="56">
        <v>280064</v>
      </c>
    </row>
    <row r="18" spans="1:13" ht="13.8" customHeight="1" x14ac:dyDescent="0.45">
      <c r="A18" s="57" t="s">
        <v>25</v>
      </c>
      <c r="B18" s="58">
        <v>144844</v>
      </c>
      <c r="C18" s="58">
        <v>148763</v>
      </c>
      <c r="D18" s="58">
        <v>158655</v>
      </c>
      <c r="E18" s="58">
        <v>154406</v>
      </c>
      <c r="F18" s="58">
        <v>151119</v>
      </c>
      <c r="G18" s="59">
        <v>143663</v>
      </c>
      <c r="H18" s="59">
        <v>129994</v>
      </c>
      <c r="I18" s="59">
        <v>161250</v>
      </c>
      <c r="J18" s="59">
        <v>163676</v>
      </c>
      <c r="K18" s="59">
        <v>178577</v>
      </c>
      <c r="L18" s="59">
        <v>139829</v>
      </c>
      <c r="M18" s="59">
        <v>132348</v>
      </c>
    </row>
    <row r="19" spans="1:13" ht="13.8" customHeight="1" thickBot="1" x14ac:dyDescent="0.5">
      <c r="A19" s="60" t="s">
        <v>16</v>
      </c>
      <c r="B19" s="61">
        <v>106106</v>
      </c>
      <c r="C19" s="61">
        <v>109837</v>
      </c>
      <c r="D19" s="62">
        <v>113780</v>
      </c>
      <c r="E19" s="61">
        <v>112564</v>
      </c>
      <c r="F19" s="61">
        <v>106869</v>
      </c>
      <c r="G19" s="63">
        <v>100869</v>
      </c>
      <c r="H19" s="63">
        <v>89020</v>
      </c>
      <c r="I19" s="63">
        <v>114609</v>
      </c>
      <c r="J19" s="63">
        <v>113607</v>
      </c>
      <c r="K19" s="63">
        <v>123212</v>
      </c>
      <c r="L19" s="63">
        <v>88844</v>
      </c>
      <c r="M19" s="63">
        <v>89587</v>
      </c>
    </row>
    <row r="20" spans="1:13" ht="13.8" customHeight="1" thickBot="1" x14ac:dyDescent="0.5">
      <c r="A20" s="64" t="s">
        <v>17</v>
      </c>
      <c r="B20" s="65">
        <v>13914</v>
      </c>
      <c r="C20" s="65">
        <v>14045</v>
      </c>
      <c r="D20" s="65">
        <v>12887</v>
      </c>
      <c r="E20" s="65">
        <v>12115</v>
      </c>
      <c r="F20" s="65">
        <v>7447</v>
      </c>
      <c r="G20" s="66">
        <v>8973</v>
      </c>
      <c r="H20" s="66">
        <v>10036</v>
      </c>
      <c r="I20" s="66">
        <v>4059</v>
      </c>
      <c r="J20" s="66">
        <v>8489</v>
      </c>
      <c r="K20" s="66">
        <v>6675</v>
      </c>
      <c r="L20" s="66">
        <v>11112</v>
      </c>
      <c r="M20" s="66">
        <v>10243</v>
      </c>
    </row>
    <row r="21" spans="1:13" ht="13.8" customHeight="1" x14ac:dyDescent="0.45">
      <c r="A21" s="67" t="s">
        <v>18</v>
      </c>
      <c r="B21" s="68">
        <v>110477</v>
      </c>
      <c r="C21" s="68">
        <v>92982</v>
      </c>
      <c r="D21" s="68">
        <v>122820</v>
      </c>
      <c r="E21" s="68">
        <v>126704</v>
      </c>
      <c r="F21" s="68">
        <v>130515</v>
      </c>
      <c r="G21" s="69">
        <v>137811</v>
      </c>
      <c r="H21" s="69">
        <v>128593</v>
      </c>
      <c r="I21" s="69">
        <v>105406</v>
      </c>
      <c r="J21" s="69">
        <v>126861</v>
      </c>
      <c r="K21" s="69">
        <v>126978</v>
      </c>
      <c r="L21" s="69">
        <v>145376</v>
      </c>
      <c r="M21" s="69">
        <v>128051</v>
      </c>
    </row>
    <row r="22" spans="1:13" ht="13.8" customHeight="1" thickBot="1" x14ac:dyDescent="0.5">
      <c r="A22" s="70" t="s">
        <v>26</v>
      </c>
      <c r="B22" s="71">
        <v>71522</v>
      </c>
      <c r="C22" s="71">
        <v>49106</v>
      </c>
      <c r="D22" s="71">
        <v>72793</v>
      </c>
      <c r="E22" s="71">
        <v>78624</v>
      </c>
      <c r="F22" s="71">
        <v>79245</v>
      </c>
      <c r="G22" s="72">
        <v>82268</v>
      </c>
      <c r="H22" s="72">
        <v>77272</v>
      </c>
      <c r="I22" s="72">
        <v>51780</v>
      </c>
      <c r="J22" s="72">
        <v>67115</v>
      </c>
      <c r="K22" s="72">
        <v>67542</v>
      </c>
      <c r="L22" s="72">
        <v>87741</v>
      </c>
      <c r="M22" s="72">
        <v>71065</v>
      </c>
    </row>
    <row r="23" spans="1:13" ht="13.8" customHeight="1" thickBot="1" x14ac:dyDescent="0.5">
      <c r="A23" s="64" t="s">
        <v>19</v>
      </c>
      <c r="B23" s="65">
        <v>12437</v>
      </c>
      <c r="C23" s="65">
        <v>12151</v>
      </c>
      <c r="D23" s="65">
        <v>12214</v>
      </c>
      <c r="E23" s="65">
        <v>12377</v>
      </c>
      <c r="F23" s="65">
        <v>10885</v>
      </c>
      <c r="G23" s="66">
        <v>11295</v>
      </c>
      <c r="H23" s="66">
        <v>9976</v>
      </c>
      <c r="I23" s="66">
        <v>13595</v>
      </c>
      <c r="J23" s="66">
        <v>14244</v>
      </c>
      <c r="K23" s="66">
        <v>14403</v>
      </c>
      <c r="L23" s="66">
        <v>12898</v>
      </c>
      <c r="M23" s="66">
        <v>9422</v>
      </c>
    </row>
    <row r="24" spans="1:13" s="53" customFormat="1" ht="13.8" customHeight="1" x14ac:dyDescent="0.45">
      <c r="A24" s="73" t="s">
        <v>27</v>
      </c>
      <c r="B24" s="37">
        <v>378817</v>
      </c>
      <c r="C24" s="37">
        <v>352824</v>
      </c>
      <c r="D24" s="37">
        <v>401607</v>
      </c>
      <c r="E24" s="37">
        <v>384411</v>
      </c>
      <c r="F24" s="37">
        <v>380466</v>
      </c>
      <c r="G24" s="74">
        <v>389381</v>
      </c>
      <c r="H24" s="74">
        <v>363497</v>
      </c>
      <c r="I24" s="74">
        <v>343542</v>
      </c>
      <c r="J24" s="74">
        <v>390267</v>
      </c>
      <c r="K24" s="74">
        <v>402627</v>
      </c>
      <c r="L24" s="74">
        <v>371259</v>
      </c>
      <c r="M24" s="74">
        <v>355071</v>
      </c>
    </row>
    <row r="25" spans="1:13" ht="13.8" customHeight="1" x14ac:dyDescent="0.45">
      <c r="A25" s="49">
        <v>2015</v>
      </c>
      <c r="B25" s="49" t="s">
        <v>3</v>
      </c>
      <c r="C25" s="49" t="s">
        <v>4</v>
      </c>
      <c r="D25" s="49" t="s">
        <v>5</v>
      </c>
      <c r="E25" s="49" t="s">
        <v>6</v>
      </c>
      <c r="F25" s="49" t="s">
        <v>1</v>
      </c>
      <c r="G25" s="49" t="s">
        <v>7</v>
      </c>
      <c r="H25" s="49" t="s">
        <v>8</v>
      </c>
      <c r="I25" s="49" t="s">
        <v>9</v>
      </c>
      <c r="J25" s="49" t="s">
        <v>10</v>
      </c>
      <c r="K25" s="49" t="s">
        <v>11</v>
      </c>
      <c r="L25" s="49" t="s">
        <v>12</v>
      </c>
      <c r="M25" s="49" t="s">
        <v>13</v>
      </c>
    </row>
    <row r="26" spans="1:13" s="53" customFormat="1" ht="13.8" customHeight="1" x14ac:dyDescent="0.45">
      <c r="A26" s="50" t="s">
        <v>23</v>
      </c>
      <c r="B26" s="51">
        <v>60130</v>
      </c>
      <c r="C26" s="51">
        <v>63591</v>
      </c>
      <c r="D26" s="51">
        <v>62841</v>
      </c>
      <c r="E26" s="51">
        <v>51944</v>
      </c>
      <c r="F26" s="51">
        <v>43773</v>
      </c>
      <c r="G26" s="52">
        <v>54473</v>
      </c>
      <c r="H26" s="52">
        <v>61244</v>
      </c>
      <c r="I26" s="52">
        <v>45897</v>
      </c>
      <c r="J26" s="52">
        <v>68897</v>
      </c>
      <c r="K26" s="52">
        <v>75448</v>
      </c>
      <c r="L26" s="52">
        <v>72416</v>
      </c>
      <c r="M26" s="52">
        <v>69839</v>
      </c>
    </row>
    <row r="27" spans="1:13" s="53" customFormat="1" ht="13.8" customHeight="1" thickBot="1" x14ac:dyDescent="0.5">
      <c r="A27" s="54" t="s">
        <v>24</v>
      </c>
      <c r="B27" s="55">
        <v>303025</v>
      </c>
      <c r="C27" s="55">
        <v>242516</v>
      </c>
      <c r="D27" s="55">
        <v>336074</v>
      </c>
      <c r="E27" s="55">
        <v>327108</v>
      </c>
      <c r="F27" s="55">
        <v>312159</v>
      </c>
      <c r="G27" s="56">
        <v>340174</v>
      </c>
      <c r="H27" s="56">
        <v>328103</v>
      </c>
      <c r="I27" s="56">
        <v>312385</v>
      </c>
      <c r="J27" s="56">
        <v>325919</v>
      </c>
      <c r="K27" s="56">
        <v>338329</v>
      </c>
      <c r="L27" s="56">
        <v>337890</v>
      </c>
      <c r="M27" s="56">
        <v>309663</v>
      </c>
    </row>
    <row r="28" spans="1:13" ht="13.8" customHeight="1" x14ac:dyDescent="0.45">
      <c r="A28" s="57" t="s">
        <v>25</v>
      </c>
      <c r="B28" s="58">
        <v>157642</v>
      </c>
      <c r="C28" s="58">
        <v>122627</v>
      </c>
      <c r="D28" s="58">
        <v>174605</v>
      </c>
      <c r="E28" s="58">
        <v>162640</v>
      </c>
      <c r="F28" s="58">
        <v>159175</v>
      </c>
      <c r="G28" s="59">
        <v>158334</v>
      </c>
      <c r="H28" s="59">
        <v>155707</v>
      </c>
      <c r="I28" s="59">
        <v>163543</v>
      </c>
      <c r="J28" s="59">
        <v>162972</v>
      </c>
      <c r="K28" s="59">
        <v>163445</v>
      </c>
      <c r="L28" s="59">
        <v>148759</v>
      </c>
      <c r="M28" s="59">
        <v>133042</v>
      </c>
    </row>
    <row r="29" spans="1:13" ht="13.8" customHeight="1" thickBot="1" x14ac:dyDescent="0.5">
      <c r="A29" s="60" t="s">
        <v>16</v>
      </c>
      <c r="B29" s="61">
        <v>107303</v>
      </c>
      <c r="C29" s="61">
        <v>83897</v>
      </c>
      <c r="D29" s="62">
        <v>123599</v>
      </c>
      <c r="E29" s="61">
        <v>113356</v>
      </c>
      <c r="F29" s="61">
        <v>110284</v>
      </c>
      <c r="G29" s="63">
        <v>108315</v>
      </c>
      <c r="H29" s="63">
        <v>107521</v>
      </c>
      <c r="I29" s="63">
        <v>112664</v>
      </c>
      <c r="J29" s="63">
        <v>111729</v>
      </c>
      <c r="K29" s="63">
        <v>110869</v>
      </c>
      <c r="L29" s="63">
        <v>93896</v>
      </c>
      <c r="M29" s="63">
        <v>86291</v>
      </c>
    </row>
    <row r="30" spans="1:13" ht="13.8" customHeight="1" thickBot="1" x14ac:dyDescent="0.5">
      <c r="A30" s="64" t="s">
        <v>17</v>
      </c>
      <c r="B30" s="65">
        <v>11898</v>
      </c>
      <c r="C30" s="65">
        <v>10845</v>
      </c>
      <c r="D30" s="65">
        <v>12709</v>
      </c>
      <c r="E30" s="65">
        <v>11380</v>
      </c>
      <c r="F30" s="65">
        <v>7348</v>
      </c>
      <c r="G30" s="66">
        <v>10912</v>
      </c>
      <c r="H30" s="66">
        <v>12661</v>
      </c>
      <c r="I30" s="66">
        <v>5046</v>
      </c>
      <c r="J30" s="66">
        <v>10928</v>
      </c>
      <c r="K30" s="66">
        <v>8841</v>
      </c>
      <c r="L30" s="66">
        <v>9080</v>
      </c>
      <c r="M30" s="66">
        <v>7249</v>
      </c>
    </row>
    <row r="31" spans="1:13" ht="13.8" customHeight="1" x14ac:dyDescent="0.45">
      <c r="A31" s="67" t="s">
        <v>18</v>
      </c>
      <c r="B31" s="68">
        <v>120560</v>
      </c>
      <c r="C31" s="68">
        <v>96535</v>
      </c>
      <c r="D31" s="68">
        <v>134030</v>
      </c>
      <c r="E31" s="68">
        <v>138623</v>
      </c>
      <c r="F31" s="68">
        <v>130570</v>
      </c>
      <c r="G31" s="69">
        <v>155546</v>
      </c>
      <c r="H31" s="69">
        <v>147572</v>
      </c>
      <c r="I31" s="69">
        <v>128704</v>
      </c>
      <c r="J31" s="69">
        <v>135580</v>
      </c>
      <c r="K31" s="69">
        <v>150317</v>
      </c>
      <c r="L31" s="69">
        <v>164315</v>
      </c>
      <c r="M31" s="69">
        <v>158209</v>
      </c>
    </row>
    <row r="32" spans="1:13" ht="13.8" customHeight="1" thickBot="1" x14ac:dyDescent="0.5">
      <c r="A32" s="70" t="s">
        <v>26</v>
      </c>
      <c r="B32" s="71">
        <v>60891</v>
      </c>
      <c r="C32" s="71">
        <v>39211</v>
      </c>
      <c r="D32" s="71">
        <v>74203</v>
      </c>
      <c r="E32" s="71">
        <v>79762</v>
      </c>
      <c r="F32" s="71">
        <v>75144</v>
      </c>
      <c r="G32" s="72">
        <v>90932</v>
      </c>
      <c r="H32" s="72">
        <v>92771</v>
      </c>
      <c r="I32" s="72">
        <v>74261</v>
      </c>
      <c r="J32" s="72">
        <v>74633</v>
      </c>
      <c r="K32" s="72">
        <v>89094</v>
      </c>
      <c r="L32" s="72">
        <v>104836</v>
      </c>
      <c r="M32" s="72">
        <v>105175</v>
      </c>
    </row>
    <row r="33" spans="1:13" ht="13.8" customHeight="1" thickBot="1" x14ac:dyDescent="0.5">
      <c r="A33" s="64" t="s">
        <v>19</v>
      </c>
      <c r="B33" s="65">
        <v>12925</v>
      </c>
      <c r="C33" s="65">
        <v>12509</v>
      </c>
      <c r="D33" s="65">
        <v>14730</v>
      </c>
      <c r="E33" s="65">
        <v>14465</v>
      </c>
      <c r="F33" s="65">
        <v>15066</v>
      </c>
      <c r="G33" s="66">
        <v>15382</v>
      </c>
      <c r="H33" s="66">
        <v>12163</v>
      </c>
      <c r="I33" s="66">
        <v>15092</v>
      </c>
      <c r="J33" s="66">
        <v>16439</v>
      </c>
      <c r="K33" s="66">
        <v>15726</v>
      </c>
      <c r="L33" s="66">
        <v>15736</v>
      </c>
      <c r="M33" s="66">
        <v>11163</v>
      </c>
    </row>
    <row r="34" spans="1:13" s="53" customFormat="1" ht="13.8" customHeight="1" x14ac:dyDescent="0.45">
      <c r="A34" s="73" t="s">
        <v>27</v>
      </c>
      <c r="B34" s="37">
        <v>363155</v>
      </c>
      <c r="C34" s="37">
        <v>306107</v>
      </c>
      <c r="D34" s="37">
        <v>398915</v>
      </c>
      <c r="E34" s="37">
        <v>379052</v>
      </c>
      <c r="F34" s="37">
        <v>355932</v>
      </c>
      <c r="G34" s="74">
        <v>394647</v>
      </c>
      <c r="H34" s="74">
        <v>389347</v>
      </c>
      <c r="I34" s="74">
        <v>358282</v>
      </c>
      <c r="J34" s="74">
        <v>394816</v>
      </c>
      <c r="K34" s="74">
        <v>413777</v>
      </c>
      <c r="L34" s="74">
        <v>410306</v>
      </c>
      <c r="M34" s="74">
        <v>379502</v>
      </c>
    </row>
    <row r="35" spans="1:13" ht="13.8" customHeight="1" x14ac:dyDescent="0.45">
      <c r="A35" s="49">
        <v>2016</v>
      </c>
      <c r="B35" s="49" t="s">
        <v>3</v>
      </c>
      <c r="C35" s="49" t="s">
        <v>4</v>
      </c>
      <c r="D35" s="49" t="s">
        <v>5</v>
      </c>
      <c r="E35" s="49" t="s">
        <v>6</v>
      </c>
      <c r="F35" s="49" t="s">
        <v>1</v>
      </c>
      <c r="G35" s="49" t="s">
        <v>7</v>
      </c>
      <c r="H35" s="49" t="s">
        <v>8</v>
      </c>
      <c r="I35" s="49" t="s">
        <v>9</v>
      </c>
      <c r="J35" s="49" t="s">
        <v>10</v>
      </c>
      <c r="K35" s="49" t="s">
        <v>11</v>
      </c>
      <c r="L35" s="49" t="s">
        <v>12</v>
      </c>
      <c r="M35" s="49" t="s">
        <v>13</v>
      </c>
    </row>
    <row r="36" spans="1:13" s="53" customFormat="1" ht="13.8" customHeight="1" x14ac:dyDescent="0.45">
      <c r="A36" s="50" t="s">
        <v>23</v>
      </c>
      <c r="B36" s="51">
        <v>61810</v>
      </c>
      <c r="C36" s="51">
        <v>75348</v>
      </c>
      <c r="D36" s="51">
        <v>79810</v>
      </c>
      <c r="E36" s="51">
        <v>51581</v>
      </c>
      <c r="F36" s="51">
        <v>56652</v>
      </c>
      <c r="G36" s="52">
        <v>67113</v>
      </c>
      <c r="H36" s="52">
        <v>66579</v>
      </c>
      <c r="I36" s="52">
        <v>52215</v>
      </c>
      <c r="J36" s="52">
        <v>75186</v>
      </c>
      <c r="K36" s="52">
        <v>74490</v>
      </c>
      <c r="L36" s="52">
        <v>81519</v>
      </c>
      <c r="M36" s="52">
        <v>77923</v>
      </c>
    </row>
    <row r="37" spans="1:13" s="53" customFormat="1" ht="13.8" customHeight="1" thickBot="1" x14ac:dyDescent="0.5">
      <c r="A37" s="54" t="s">
        <v>24</v>
      </c>
      <c r="B37" s="55">
        <v>342449</v>
      </c>
      <c r="C37" s="55">
        <v>321122</v>
      </c>
      <c r="D37" s="55">
        <v>375552</v>
      </c>
      <c r="E37" s="55">
        <v>352161</v>
      </c>
      <c r="F37" s="55">
        <v>341423</v>
      </c>
      <c r="G37" s="56">
        <v>358190</v>
      </c>
      <c r="H37" s="56">
        <v>305843</v>
      </c>
      <c r="I37" s="56">
        <v>351272</v>
      </c>
      <c r="J37" s="56">
        <v>374405</v>
      </c>
      <c r="K37" s="56">
        <v>347653</v>
      </c>
      <c r="L37" s="56">
        <v>377303</v>
      </c>
      <c r="M37" s="56">
        <v>331664</v>
      </c>
    </row>
    <row r="38" spans="1:13" ht="13.8" customHeight="1" x14ac:dyDescent="0.45">
      <c r="A38" s="57" t="s">
        <v>25</v>
      </c>
      <c r="B38" s="58">
        <v>162340</v>
      </c>
      <c r="C38" s="58">
        <v>175435</v>
      </c>
      <c r="D38" s="58">
        <v>173683</v>
      </c>
      <c r="E38" s="58">
        <v>169843</v>
      </c>
      <c r="F38" s="58">
        <v>169530</v>
      </c>
      <c r="G38" s="59">
        <v>176287</v>
      </c>
      <c r="H38" s="59">
        <v>123848</v>
      </c>
      <c r="I38" s="59">
        <v>182805</v>
      </c>
      <c r="J38" s="59">
        <v>168013</v>
      </c>
      <c r="K38" s="59">
        <v>168075</v>
      </c>
      <c r="L38" s="59">
        <v>158438</v>
      </c>
      <c r="M38" s="59">
        <v>127899</v>
      </c>
    </row>
    <row r="39" spans="1:13" ht="13.8" customHeight="1" thickBot="1" x14ac:dyDescent="0.5">
      <c r="A39" s="60" t="s">
        <v>16</v>
      </c>
      <c r="B39" s="61">
        <v>105838</v>
      </c>
      <c r="C39" s="61">
        <v>117678</v>
      </c>
      <c r="D39" s="62">
        <v>115010</v>
      </c>
      <c r="E39" s="61">
        <v>110962</v>
      </c>
      <c r="F39" s="36">
        <v>108351</v>
      </c>
      <c r="G39" s="63">
        <v>115245</v>
      </c>
      <c r="H39" s="63">
        <v>81817</v>
      </c>
      <c r="I39" s="63">
        <v>122734</v>
      </c>
      <c r="J39" s="63">
        <v>109960</v>
      </c>
      <c r="K39" s="63">
        <v>110039</v>
      </c>
      <c r="L39" s="63">
        <v>102566</v>
      </c>
      <c r="M39" s="63">
        <v>89852</v>
      </c>
    </row>
    <row r="40" spans="1:13" ht="13.8" customHeight="1" thickBot="1" x14ac:dyDescent="0.5">
      <c r="A40" s="64" t="s">
        <v>17</v>
      </c>
      <c r="B40" s="65">
        <v>10878</v>
      </c>
      <c r="C40" s="65">
        <v>8271</v>
      </c>
      <c r="D40" s="65">
        <v>12099</v>
      </c>
      <c r="E40" s="65">
        <v>9866</v>
      </c>
      <c r="F40" s="65">
        <v>10376</v>
      </c>
      <c r="G40" s="66">
        <v>10720</v>
      </c>
      <c r="H40" s="66">
        <v>11933</v>
      </c>
      <c r="I40" s="66">
        <v>6705</v>
      </c>
      <c r="J40" s="66">
        <v>13062</v>
      </c>
      <c r="K40" s="66">
        <v>15013</v>
      </c>
      <c r="L40" s="66">
        <v>13950</v>
      </c>
      <c r="M40" s="66">
        <v>11002</v>
      </c>
    </row>
    <row r="41" spans="1:13" ht="13.8" customHeight="1" x14ac:dyDescent="0.45">
      <c r="A41" s="67" t="s">
        <v>18</v>
      </c>
      <c r="B41" s="68">
        <v>157078</v>
      </c>
      <c r="C41" s="75">
        <v>125256</v>
      </c>
      <c r="D41" s="68">
        <v>175532</v>
      </c>
      <c r="E41" s="68">
        <v>160198</v>
      </c>
      <c r="F41" s="68">
        <v>149040</v>
      </c>
      <c r="G41" s="69">
        <v>160142</v>
      </c>
      <c r="H41" s="69">
        <v>165235</v>
      </c>
      <c r="I41" s="69">
        <v>147549</v>
      </c>
      <c r="J41" s="69">
        <v>180064</v>
      </c>
      <c r="K41" s="69">
        <v>150702</v>
      </c>
      <c r="L41" s="69">
        <v>189853</v>
      </c>
      <c r="M41" s="69">
        <v>180233</v>
      </c>
    </row>
    <row r="42" spans="1:13" ht="13.8" customHeight="1" thickBot="1" x14ac:dyDescent="0.5">
      <c r="A42" s="70" t="s">
        <v>26</v>
      </c>
      <c r="B42" s="71">
        <v>95798</v>
      </c>
      <c r="C42" s="71">
        <v>65130</v>
      </c>
      <c r="D42" s="71">
        <v>109172</v>
      </c>
      <c r="E42" s="71">
        <v>94199</v>
      </c>
      <c r="F42" s="71">
        <v>85523</v>
      </c>
      <c r="G42" s="72">
        <v>94934</v>
      </c>
      <c r="H42" s="72">
        <v>111810</v>
      </c>
      <c r="I42" s="72">
        <v>82266</v>
      </c>
      <c r="J42" s="72">
        <v>114955</v>
      </c>
      <c r="K42" s="72">
        <v>94053</v>
      </c>
      <c r="L42" s="72">
        <v>132401</v>
      </c>
      <c r="M42" s="72">
        <v>129159</v>
      </c>
    </row>
    <row r="43" spans="1:13" ht="13.8" customHeight="1" thickBot="1" x14ac:dyDescent="0.5">
      <c r="A43" s="64" t="s">
        <v>19</v>
      </c>
      <c r="B43" s="65">
        <v>12153</v>
      </c>
      <c r="C43" s="65">
        <v>12160</v>
      </c>
      <c r="D43" s="65">
        <v>14238</v>
      </c>
      <c r="E43" s="65">
        <v>12254</v>
      </c>
      <c r="F43" s="65">
        <v>12477</v>
      </c>
      <c r="G43" s="66">
        <v>11041</v>
      </c>
      <c r="H43" s="66">
        <v>4827</v>
      </c>
      <c r="I43" s="66">
        <v>14213</v>
      </c>
      <c r="J43" s="66">
        <v>13266</v>
      </c>
      <c r="K43" s="66">
        <v>13863</v>
      </c>
      <c r="L43" s="66">
        <v>15062</v>
      </c>
      <c r="M43" s="66">
        <v>12530</v>
      </c>
    </row>
    <row r="44" spans="1:13" s="53" customFormat="1" ht="13.8" customHeight="1" x14ac:dyDescent="0.45">
      <c r="A44" s="73" t="s">
        <v>27</v>
      </c>
      <c r="B44" s="37">
        <v>404259</v>
      </c>
      <c r="C44" s="37">
        <v>396470</v>
      </c>
      <c r="D44" s="37">
        <v>455362</v>
      </c>
      <c r="E44" s="37">
        <v>403742</v>
      </c>
      <c r="F44" s="37">
        <v>398075</v>
      </c>
      <c r="G44" s="74">
        <v>425303</v>
      </c>
      <c r="H44" s="74">
        <v>372422</v>
      </c>
      <c r="I44" s="74">
        <v>403487</v>
      </c>
      <c r="J44" s="74">
        <v>449591</v>
      </c>
      <c r="K44" s="74">
        <v>422143</v>
      </c>
      <c r="L44" s="74">
        <v>458822</v>
      </c>
      <c r="M44" s="74">
        <v>409587</v>
      </c>
    </row>
    <row r="45" spans="1:13" ht="13.8" customHeight="1" x14ac:dyDescent="0.45">
      <c r="A45" s="49">
        <v>2017</v>
      </c>
      <c r="B45" s="49" t="s">
        <v>3</v>
      </c>
      <c r="C45" s="49" t="s">
        <v>4</v>
      </c>
      <c r="D45" s="49" t="s">
        <v>5</v>
      </c>
      <c r="E45" s="49" t="s">
        <v>6</v>
      </c>
      <c r="F45" s="49" t="s">
        <v>1</v>
      </c>
      <c r="G45" s="49" t="s">
        <v>7</v>
      </c>
      <c r="H45" s="49" t="s">
        <v>8</v>
      </c>
      <c r="I45" s="49" t="s">
        <v>9</v>
      </c>
      <c r="J45" s="49" t="s">
        <v>10</v>
      </c>
      <c r="K45" s="49" t="s">
        <v>11</v>
      </c>
      <c r="L45" s="49" t="s">
        <v>12</v>
      </c>
      <c r="M45" s="49" t="s">
        <v>13</v>
      </c>
    </row>
    <row r="46" spans="1:13" s="53" customFormat="1" ht="13.8" customHeight="1" x14ac:dyDescent="0.45">
      <c r="A46" s="50" t="s">
        <v>23</v>
      </c>
      <c r="B46" s="51">
        <v>62889</v>
      </c>
      <c r="C46" s="51">
        <v>69126</v>
      </c>
      <c r="D46" s="51">
        <v>75104</v>
      </c>
      <c r="E46" s="51">
        <v>63527</v>
      </c>
      <c r="F46" s="51">
        <v>59944</v>
      </c>
      <c r="G46" s="52">
        <v>71094</v>
      </c>
      <c r="H46" s="52">
        <v>62596</v>
      </c>
      <c r="I46" s="52">
        <v>55123</v>
      </c>
      <c r="J46" s="52">
        <v>70094</v>
      </c>
      <c r="K46" s="52">
        <v>72366</v>
      </c>
      <c r="L46" s="52">
        <v>78879</v>
      </c>
      <c r="M46" s="52">
        <v>76758</v>
      </c>
    </row>
    <row r="47" spans="1:13" s="53" customFormat="1" ht="13.8" customHeight="1" thickBot="1" x14ac:dyDescent="0.5">
      <c r="A47" s="54" t="s">
        <v>24</v>
      </c>
      <c r="B47" s="55">
        <v>349824</v>
      </c>
      <c r="C47" s="55">
        <v>347488</v>
      </c>
      <c r="D47" s="55">
        <v>412219</v>
      </c>
      <c r="E47" s="55">
        <v>333231</v>
      </c>
      <c r="F47" s="55">
        <v>367102</v>
      </c>
      <c r="G47" s="56">
        <v>375298</v>
      </c>
      <c r="H47" s="56">
        <v>334539</v>
      </c>
      <c r="I47" s="56">
        <v>379276</v>
      </c>
      <c r="J47" s="56">
        <v>385135</v>
      </c>
      <c r="K47" s="56">
        <v>380564</v>
      </c>
      <c r="L47" s="56">
        <v>402990</v>
      </c>
      <c r="M47" s="56">
        <v>351676</v>
      </c>
    </row>
    <row r="48" spans="1:13" ht="13.8" customHeight="1" x14ac:dyDescent="0.45">
      <c r="A48" s="57" t="s">
        <v>25</v>
      </c>
      <c r="B48" s="58">
        <v>158384</v>
      </c>
      <c r="C48" s="58">
        <v>158182</v>
      </c>
      <c r="D48" s="58">
        <v>175758</v>
      </c>
      <c r="E48" s="58">
        <v>138470</v>
      </c>
      <c r="F48" s="58">
        <v>165826</v>
      </c>
      <c r="G48" s="59">
        <v>164323</v>
      </c>
      <c r="H48" s="59">
        <v>114583</v>
      </c>
      <c r="I48" s="59">
        <v>171436</v>
      </c>
      <c r="J48" s="59">
        <v>148035</v>
      </c>
      <c r="K48" s="59">
        <v>167917</v>
      </c>
      <c r="L48" s="59">
        <v>159394</v>
      </c>
      <c r="M48" s="59">
        <v>129123</v>
      </c>
    </row>
    <row r="49" spans="1:13" ht="13.8" customHeight="1" thickBot="1" x14ac:dyDescent="0.5">
      <c r="A49" s="60" t="s">
        <v>16</v>
      </c>
      <c r="B49" s="61">
        <v>102632</v>
      </c>
      <c r="C49" s="61">
        <v>104780</v>
      </c>
      <c r="D49" s="62">
        <v>112008</v>
      </c>
      <c r="E49" s="61">
        <v>87265</v>
      </c>
      <c r="F49" s="36">
        <v>107961</v>
      </c>
      <c r="G49" s="63">
        <v>109580</v>
      </c>
      <c r="H49" s="63">
        <v>72628</v>
      </c>
      <c r="I49" s="63">
        <v>115274</v>
      </c>
      <c r="J49" s="63">
        <v>95619</v>
      </c>
      <c r="K49" s="63">
        <v>111543</v>
      </c>
      <c r="L49" s="63">
        <v>101417</v>
      </c>
      <c r="M49" s="63">
        <v>87111</v>
      </c>
    </row>
    <row r="50" spans="1:13" ht="13.8" customHeight="1" thickBot="1" x14ac:dyDescent="0.5">
      <c r="A50" s="64" t="s">
        <v>17</v>
      </c>
      <c r="B50" s="65">
        <v>15305</v>
      </c>
      <c r="C50" s="65">
        <v>14569</v>
      </c>
      <c r="D50" s="65">
        <v>16743</v>
      </c>
      <c r="E50" s="65">
        <v>12256</v>
      </c>
      <c r="F50" s="65">
        <v>13270</v>
      </c>
      <c r="G50" s="66">
        <v>13238</v>
      </c>
      <c r="H50" s="66">
        <v>15017</v>
      </c>
      <c r="I50" s="66">
        <v>8268</v>
      </c>
      <c r="J50" s="66">
        <v>14511</v>
      </c>
      <c r="K50" s="66">
        <v>15989</v>
      </c>
      <c r="L50" s="66">
        <v>16227</v>
      </c>
      <c r="M50" s="66">
        <v>10835</v>
      </c>
    </row>
    <row r="51" spans="1:13" ht="13.8" customHeight="1" x14ac:dyDescent="0.45">
      <c r="A51" s="67" t="s">
        <v>18</v>
      </c>
      <c r="B51" s="68">
        <v>163773</v>
      </c>
      <c r="C51" s="68">
        <v>161369</v>
      </c>
      <c r="D51" s="68">
        <v>202870</v>
      </c>
      <c r="E51" s="68">
        <v>168752</v>
      </c>
      <c r="F51" s="68">
        <v>171529</v>
      </c>
      <c r="G51" s="69">
        <v>182518</v>
      </c>
      <c r="H51" s="69">
        <v>195853</v>
      </c>
      <c r="I51" s="69">
        <v>182582</v>
      </c>
      <c r="J51" s="69">
        <v>207678</v>
      </c>
      <c r="K51" s="69">
        <v>180513</v>
      </c>
      <c r="L51" s="69">
        <v>212532</v>
      </c>
      <c r="M51" s="69">
        <v>198222</v>
      </c>
    </row>
    <row r="52" spans="1:13" ht="13.8" customHeight="1" thickBot="1" x14ac:dyDescent="0.5">
      <c r="A52" s="70" t="s">
        <v>26</v>
      </c>
      <c r="B52" s="71">
        <v>102444</v>
      </c>
      <c r="C52" s="71">
        <v>93899</v>
      </c>
      <c r="D52" s="71">
        <v>135217</v>
      </c>
      <c r="E52" s="71">
        <v>112373</v>
      </c>
      <c r="F52" s="71">
        <v>105022</v>
      </c>
      <c r="G52" s="72">
        <v>127848</v>
      </c>
      <c r="H52" s="72">
        <v>132537</v>
      </c>
      <c r="I52" s="72">
        <v>106790</v>
      </c>
      <c r="J52" s="72">
        <v>136518</v>
      </c>
      <c r="K52" s="72">
        <v>113330</v>
      </c>
      <c r="L52" s="72">
        <v>141746</v>
      </c>
      <c r="M52" s="72">
        <v>134204</v>
      </c>
    </row>
    <row r="53" spans="1:13" ht="13.8" customHeight="1" thickBot="1" x14ac:dyDescent="0.5">
      <c r="A53" s="64" t="s">
        <v>19</v>
      </c>
      <c r="B53" s="65">
        <v>12362</v>
      </c>
      <c r="C53" s="65">
        <v>13368</v>
      </c>
      <c r="D53" s="65">
        <v>16848</v>
      </c>
      <c r="E53" s="65">
        <v>13753</v>
      </c>
      <c r="F53" s="65">
        <v>16477</v>
      </c>
      <c r="G53" s="66">
        <v>15219</v>
      </c>
      <c r="H53" s="66">
        <v>9086</v>
      </c>
      <c r="I53" s="66">
        <v>16990</v>
      </c>
      <c r="J53" s="66">
        <v>14911</v>
      </c>
      <c r="K53" s="66">
        <v>16145</v>
      </c>
      <c r="L53" s="66">
        <v>14837</v>
      </c>
      <c r="M53" s="66">
        <v>13496</v>
      </c>
    </row>
    <row r="54" spans="1:13" s="53" customFormat="1" ht="13.8" customHeight="1" x14ac:dyDescent="0.45">
      <c r="A54" s="73" t="s">
        <v>27</v>
      </c>
      <c r="B54" s="37">
        <v>412713</v>
      </c>
      <c r="C54" s="37">
        <v>416614</v>
      </c>
      <c r="D54" s="37">
        <v>487323</v>
      </c>
      <c r="E54" s="37">
        <v>396758</v>
      </c>
      <c r="F54" s="37">
        <v>427046</v>
      </c>
      <c r="G54" s="74">
        <v>446392</v>
      </c>
      <c r="H54" s="74">
        <v>397135</v>
      </c>
      <c r="I54" s="74">
        <v>434399</v>
      </c>
      <c r="J54" s="74">
        <v>455229</v>
      </c>
      <c r="K54" s="74">
        <v>452930</v>
      </c>
      <c r="L54" s="74">
        <v>481869</v>
      </c>
      <c r="M54" s="74">
        <v>428434</v>
      </c>
    </row>
    <row r="55" spans="1:13" ht="13.8" customHeight="1" x14ac:dyDescent="0.45">
      <c r="A55" s="49">
        <v>2018</v>
      </c>
      <c r="B55" s="49" t="s">
        <v>3</v>
      </c>
      <c r="C55" s="49" t="s">
        <v>4</v>
      </c>
      <c r="D55" s="49" t="s">
        <v>5</v>
      </c>
      <c r="E55" s="49" t="s">
        <v>6</v>
      </c>
      <c r="F55" s="49" t="s">
        <v>1</v>
      </c>
      <c r="G55" s="49" t="s">
        <v>7</v>
      </c>
      <c r="H55" s="49" t="s">
        <v>8</v>
      </c>
      <c r="I55" s="49" t="s">
        <v>9</v>
      </c>
      <c r="J55" s="49" t="s">
        <v>10</v>
      </c>
      <c r="K55" s="49" t="s">
        <v>11</v>
      </c>
      <c r="L55" s="49" t="s">
        <v>12</v>
      </c>
      <c r="M55" s="49" t="s">
        <v>13</v>
      </c>
    </row>
    <row r="56" spans="1:13" s="53" customFormat="1" ht="13.8" customHeight="1" x14ac:dyDescent="0.45">
      <c r="A56" s="50" t="s">
        <v>23</v>
      </c>
      <c r="B56" s="51">
        <v>61693</v>
      </c>
      <c r="C56" s="51">
        <v>74353</v>
      </c>
      <c r="D56" s="51">
        <v>82789</v>
      </c>
      <c r="E56" s="51">
        <v>67540</v>
      </c>
      <c r="F56" s="51">
        <v>65100</v>
      </c>
      <c r="G56" s="52">
        <v>66707</v>
      </c>
      <c r="H56" s="52">
        <v>78231</v>
      </c>
      <c r="I56" s="52">
        <v>58165</v>
      </c>
      <c r="J56" s="52">
        <v>79748</v>
      </c>
      <c r="K56" s="52">
        <v>88818</v>
      </c>
      <c r="L56" s="52">
        <v>86283</v>
      </c>
      <c r="M56" s="52">
        <v>81821</v>
      </c>
    </row>
    <row r="57" spans="1:13" s="53" customFormat="1" ht="13.8" customHeight="1" thickBot="1" x14ac:dyDescent="0.5">
      <c r="A57" s="54" t="s">
        <v>24</v>
      </c>
      <c r="B57" s="55">
        <v>412338</v>
      </c>
      <c r="C57" s="55">
        <v>333514</v>
      </c>
      <c r="D57" s="55">
        <v>402170</v>
      </c>
      <c r="E57" s="55">
        <v>361710</v>
      </c>
      <c r="F57" s="55">
        <v>370738</v>
      </c>
      <c r="G57" s="56">
        <v>382687</v>
      </c>
      <c r="H57" s="56">
        <v>342819</v>
      </c>
      <c r="I57" s="56">
        <v>360381</v>
      </c>
      <c r="J57" s="56">
        <v>362182</v>
      </c>
      <c r="K57" s="56">
        <v>390862</v>
      </c>
      <c r="L57" s="56">
        <v>406474</v>
      </c>
      <c r="M57" s="56">
        <v>339892</v>
      </c>
    </row>
    <row r="58" spans="1:13" ht="13.8" customHeight="1" x14ac:dyDescent="0.45">
      <c r="A58" s="57" t="s">
        <v>25</v>
      </c>
      <c r="B58" s="58">
        <v>172950</v>
      </c>
      <c r="C58" s="58">
        <v>162237</v>
      </c>
      <c r="D58" s="58">
        <v>170196</v>
      </c>
      <c r="E58" s="58">
        <v>155231</v>
      </c>
      <c r="F58" s="58">
        <v>160876</v>
      </c>
      <c r="G58" s="59">
        <v>153919</v>
      </c>
      <c r="H58" s="59">
        <v>97651</v>
      </c>
      <c r="I58" s="59">
        <v>152894</v>
      </c>
      <c r="J58" s="59">
        <v>135229</v>
      </c>
      <c r="K58" s="59">
        <v>169517</v>
      </c>
      <c r="L58" s="59">
        <v>165899</v>
      </c>
      <c r="M58" s="59">
        <v>124180</v>
      </c>
    </row>
    <row r="59" spans="1:13" ht="13.8" customHeight="1" thickBot="1" x14ac:dyDescent="0.5">
      <c r="A59" s="60" t="s">
        <v>16</v>
      </c>
      <c r="B59" s="61">
        <v>113020</v>
      </c>
      <c r="C59" s="61">
        <v>109981</v>
      </c>
      <c r="D59" s="62">
        <v>115504</v>
      </c>
      <c r="E59" s="61">
        <v>100736</v>
      </c>
      <c r="F59" s="36">
        <v>100373</v>
      </c>
      <c r="G59" s="63">
        <v>103263</v>
      </c>
      <c r="H59" s="63">
        <v>67546</v>
      </c>
      <c r="I59" s="63">
        <v>111880</v>
      </c>
      <c r="J59" s="63">
        <v>98194</v>
      </c>
      <c r="K59" s="63">
        <v>125425</v>
      </c>
      <c r="L59" s="63">
        <v>111412</v>
      </c>
      <c r="M59" s="63">
        <v>83153</v>
      </c>
    </row>
    <row r="60" spans="1:13" ht="13.8" customHeight="1" thickBot="1" x14ac:dyDescent="0.5">
      <c r="A60" s="64" t="s">
        <v>17</v>
      </c>
      <c r="B60" s="65">
        <v>16191</v>
      </c>
      <c r="C60" s="65">
        <v>14615</v>
      </c>
      <c r="D60" s="65">
        <v>13685</v>
      </c>
      <c r="E60" s="65">
        <v>15719</v>
      </c>
      <c r="F60" s="65">
        <v>13089</v>
      </c>
      <c r="G60" s="66">
        <v>12956</v>
      </c>
      <c r="H60" s="66">
        <v>14375</v>
      </c>
      <c r="I60" s="66">
        <v>7599</v>
      </c>
      <c r="J60" s="66">
        <v>13075</v>
      </c>
      <c r="K60" s="66">
        <v>15175</v>
      </c>
      <c r="L60" s="66">
        <v>13923</v>
      </c>
      <c r="M60" s="66">
        <v>9673</v>
      </c>
    </row>
    <row r="61" spans="1:13" ht="13.8" customHeight="1" x14ac:dyDescent="0.45">
      <c r="A61" s="67" t="s">
        <v>18</v>
      </c>
      <c r="B61" s="68">
        <v>207211</v>
      </c>
      <c r="C61" s="68">
        <v>141123</v>
      </c>
      <c r="D61" s="68">
        <v>199798</v>
      </c>
      <c r="E61" s="68">
        <v>173687</v>
      </c>
      <c r="F61" s="68">
        <v>182176</v>
      </c>
      <c r="G61" s="69">
        <v>199160</v>
      </c>
      <c r="H61" s="69">
        <v>219295</v>
      </c>
      <c r="I61" s="69">
        <v>181115</v>
      </c>
      <c r="J61" s="69">
        <v>197355</v>
      </c>
      <c r="K61" s="69">
        <v>189844</v>
      </c>
      <c r="L61" s="69">
        <v>212050</v>
      </c>
      <c r="M61" s="69">
        <v>194472</v>
      </c>
    </row>
    <row r="62" spans="1:13" ht="13.8" customHeight="1" thickBot="1" x14ac:dyDescent="0.5">
      <c r="A62" s="70" t="s">
        <v>26</v>
      </c>
      <c r="B62" s="71">
        <v>136699</v>
      </c>
      <c r="C62" s="71">
        <v>80974</v>
      </c>
      <c r="D62" s="71">
        <v>140576</v>
      </c>
      <c r="E62" s="71">
        <v>113153</v>
      </c>
      <c r="F62" s="71">
        <v>111525</v>
      </c>
      <c r="G62" s="72">
        <v>138915</v>
      </c>
      <c r="H62" s="72">
        <v>142121</v>
      </c>
      <c r="I62" s="72">
        <v>105479</v>
      </c>
      <c r="J62" s="72">
        <v>128988</v>
      </c>
      <c r="K62" s="72">
        <v>118635</v>
      </c>
      <c r="L62" s="72">
        <v>146914</v>
      </c>
      <c r="M62" s="72">
        <v>138489</v>
      </c>
    </row>
    <row r="63" spans="1:13" ht="13.8" customHeight="1" thickBot="1" x14ac:dyDescent="0.5">
      <c r="A63" s="64" t="s">
        <v>19</v>
      </c>
      <c r="B63" s="65">
        <v>15985</v>
      </c>
      <c r="C63" s="65">
        <v>15542</v>
      </c>
      <c r="D63" s="65">
        <v>18487</v>
      </c>
      <c r="E63" s="65">
        <v>17073</v>
      </c>
      <c r="F63" s="65">
        <v>14597</v>
      </c>
      <c r="G63" s="66">
        <v>16652</v>
      </c>
      <c r="H63" s="66">
        <v>11498</v>
      </c>
      <c r="I63" s="66">
        <v>18773</v>
      </c>
      <c r="J63" s="66">
        <v>16523</v>
      </c>
      <c r="K63" s="66">
        <v>16326</v>
      </c>
      <c r="L63" s="66">
        <v>14602</v>
      </c>
      <c r="M63" s="66">
        <v>11567</v>
      </c>
    </row>
    <row r="64" spans="1:13" s="53" customFormat="1" ht="13.8" customHeight="1" x14ac:dyDescent="0.45">
      <c r="A64" s="73" t="s">
        <v>27</v>
      </c>
      <c r="B64" s="37">
        <v>474030</v>
      </c>
      <c r="C64" s="37">
        <v>407870</v>
      </c>
      <c r="D64" s="37">
        <v>484955</v>
      </c>
      <c r="E64" s="37">
        <v>429250</v>
      </c>
      <c r="F64" s="37">
        <v>435838</v>
      </c>
      <c r="G64" s="74">
        <v>449394</v>
      </c>
      <c r="H64" s="74">
        <v>421050</v>
      </c>
      <c r="I64" s="74">
        <v>418546</v>
      </c>
      <c r="J64" s="74">
        <v>441930</v>
      </c>
      <c r="K64" s="74">
        <v>479680</v>
      </c>
      <c r="L64" s="74">
        <v>492757</v>
      </c>
      <c r="M64" s="74">
        <v>421713</v>
      </c>
    </row>
    <row r="65" spans="1:13" ht="13.8" customHeight="1" x14ac:dyDescent="0.45">
      <c r="A65" s="49">
        <v>2019</v>
      </c>
      <c r="B65" s="49" t="s">
        <v>3</v>
      </c>
      <c r="C65" s="49" t="s">
        <v>4</v>
      </c>
      <c r="D65" s="49" t="s">
        <v>5</v>
      </c>
      <c r="E65" s="49" t="s">
        <v>6</v>
      </c>
      <c r="F65" s="49" t="s">
        <v>1</v>
      </c>
      <c r="G65" s="49" t="s">
        <v>7</v>
      </c>
      <c r="H65" s="49" t="s">
        <v>8</v>
      </c>
      <c r="I65" s="49" t="s">
        <v>9</v>
      </c>
      <c r="J65" s="49" t="s">
        <v>10</v>
      </c>
      <c r="K65" s="49" t="s">
        <v>11</v>
      </c>
      <c r="L65" s="49" t="s">
        <v>12</v>
      </c>
      <c r="M65" s="49" t="s">
        <v>13</v>
      </c>
    </row>
    <row r="66" spans="1:13" s="53" customFormat="1" ht="13.8" customHeight="1" x14ac:dyDescent="0.45">
      <c r="A66" s="50" t="s">
        <v>23</v>
      </c>
      <c r="B66" s="51">
        <v>76776</v>
      </c>
      <c r="C66" s="51">
        <v>82187</v>
      </c>
      <c r="D66" s="51">
        <v>80461</v>
      </c>
      <c r="E66" s="51">
        <v>78178</v>
      </c>
      <c r="F66" s="51">
        <v>76916</v>
      </c>
      <c r="G66" s="52">
        <v>78355</v>
      </c>
      <c r="H66" s="52">
        <v>79415</v>
      </c>
      <c r="I66" s="52">
        <v>65674</v>
      </c>
      <c r="J66" s="52">
        <v>65259</v>
      </c>
      <c r="K66" s="52">
        <v>56183</v>
      </c>
      <c r="L66" s="52">
        <v>52928</v>
      </c>
      <c r="M66" s="52">
        <v>50724</v>
      </c>
    </row>
    <row r="67" spans="1:13" s="53" customFormat="1" ht="13.8" customHeight="1" thickBot="1" x14ac:dyDescent="0.5">
      <c r="A67" s="54" t="s">
        <v>24</v>
      </c>
      <c r="B67" s="39">
        <v>400018</v>
      </c>
      <c r="C67" s="39">
        <v>308873</v>
      </c>
      <c r="D67" s="39">
        <v>399147</v>
      </c>
      <c r="E67" s="39">
        <v>365476</v>
      </c>
      <c r="F67" s="55">
        <v>383247</v>
      </c>
      <c r="G67" s="56">
        <v>362541</v>
      </c>
      <c r="H67" s="56">
        <v>350221</v>
      </c>
      <c r="I67" s="56">
        <v>350464</v>
      </c>
      <c r="J67" s="56">
        <v>364937</v>
      </c>
      <c r="K67" s="56">
        <v>372319</v>
      </c>
      <c r="L67" s="56">
        <v>358016</v>
      </c>
      <c r="M67" s="56">
        <v>312280</v>
      </c>
    </row>
    <row r="68" spans="1:13" ht="13.8" customHeight="1" x14ac:dyDescent="0.45">
      <c r="A68" s="57" t="s">
        <v>25</v>
      </c>
      <c r="B68" s="58">
        <v>168919</v>
      </c>
      <c r="C68" s="58">
        <v>153098</v>
      </c>
      <c r="D68" s="58">
        <v>164117</v>
      </c>
      <c r="E68" s="58">
        <v>160439</v>
      </c>
      <c r="F68" s="58">
        <v>170796</v>
      </c>
      <c r="G68" s="59">
        <v>156981</v>
      </c>
      <c r="H68" s="59">
        <v>135913</v>
      </c>
      <c r="I68" s="59">
        <v>156888</v>
      </c>
      <c r="J68" s="59">
        <v>146225</v>
      </c>
      <c r="K68" s="59">
        <v>167384</v>
      </c>
      <c r="L68" s="59">
        <v>135321</v>
      </c>
      <c r="M68" s="59">
        <v>101110</v>
      </c>
    </row>
    <row r="69" spans="1:13" ht="13.8" customHeight="1" thickBot="1" x14ac:dyDescent="0.5">
      <c r="A69" s="60" t="s">
        <v>16</v>
      </c>
      <c r="B69" s="61">
        <v>112116</v>
      </c>
      <c r="C69" s="61">
        <v>104214</v>
      </c>
      <c r="D69" s="62">
        <v>107661</v>
      </c>
      <c r="E69" s="61">
        <v>109068</v>
      </c>
      <c r="F69" s="36">
        <v>113314</v>
      </c>
      <c r="G69" s="63">
        <v>106267</v>
      </c>
      <c r="H69" s="63">
        <v>91011</v>
      </c>
      <c r="I69" s="63">
        <v>102666</v>
      </c>
      <c r="J69" s="63">
        <v>96735</v>
      </c>
      <c r="K69" s="63">
        <v>110506</v>
      </c>
      <c r="L69" s="63">
        <v>84290</v>
      </c>
      <c r="M69" s="63">
        <v>67168</v>
      </c>
    </row>
    <row r="70" spans="1:13" ht="13.8" customHeight="1" thickBot="1" x14ac:dyDescent="0.5">
      <c r="A70" s="64" t="s">
        <v>17</v>
      </c>
      <c r="B70" s="65">
        <v>14269</v>
      </c>
      <c r="C70" s="65">
        <v>10073</v>
      </c>
      <c r="D70" s="65">
        <v>10842</v>
      </c>
      <c r="E70" s="65">
        <v>7496</v>
      </c>
      <c r="F70" s="65">
        <v>6629</v>
      </c>
      <c r="G70" s="66">
        <v>8459</v>
      </c>
      <c r="H70" s="66">
        <v>10031</v>
      </c>
      <c r="I70" s="66">
        <v>5098</v>
      </c>
      <c r="J70" s="66">
        <v>10391</v>
      </c>
      <c r="K70" s="66">
        <v>11436</v>
      </c>
      <c r="L70" s="66">
        <v>8135</v>
      </c>
      <c r="M70" s="66">
        <v>5924</v>
      </c>
    </row>
    <row r="71" spans="1:13" ht="13.8" customHeight="1" x14ac:dyDescent="0.45">
      <c r="A71" s="67" t="s">
        <v>18</v>
      </c>
      <c r="B71" s="76">
        <v>201741</v>
      </c>
      <c r="C71" s="76">
        <v>131282</v>
      </c>
      <c r="D71" s="76">
        <v>210314</v>
      </c>
      <c r="E71" s="76">
        <v>181418</v>
      </c>
      <c r="F71" s="68">
        <v>189919</v>
      </c>
      <c r="G71" s="69">
        <v>186516</v>
      </c>
      <c r="H71" s="69">
        <v>195073</v>
      </c>
      <c r="I71" s="69">
        <v>174025</v>
      </c>
      <c r="J71" s="69">
        <v>192901</v>
      </c>
      <c r="K71" s="69">
        <v>176847</v>
      </c>
      <c r="L71" s="69">
        <v>200015</v>
      </c>
      <c r="M71" s="69">
        <v>194912</v>
      </c>
    </row>
    <row r="72" spans="1:13" ht="13.8" customHeight="1" thickBot="1" x14ac:dyDescent="0.5">
      <c r="A72" s="70" t="s">
        <v>26</v>
      </c>
      <c r="B72" s="71">
        <v>133683</v>
      </c>
      <c r="C72" s="71">
        <v>75000</v>
      </c>
      <c r="D72" s="71">
        <v>144141</v>
      </c>
      <c r="E72" s="71">
        <v>125851</v>
      </c>
      <c r="F72" s="71">
        <v>127833</v>
      </c>
      <c r="G72" s="72">
        <v>136671</v>
      </c>
      <c r="H72" s="72">
        <v>138260</v>
      </c>
      <c r="I72" s="72">
        <v>119263</v>
      </c>
      <c r="J72" s="72">
        <v>141158</v>
      </c>
      <c r="K72" s="72">
        <v>126391</v>
      </c>
      <c r="L72" s="72">
        <v>152918</v>
      </c>
      <c r="M72" s="72">
        <v>145566</v>
      </c>
    </row>
    <row r="73" spans="1:13" ht="13.8" customHeight="1" thickBot="1" x14ac:dyDescent="0.5">
      <c r="A73" s="64" t="s">
        <v>19</v>
      </c>
      <c r="B73" s="65">
        <v>15089</v>
      </c>
      <c r="C73" s="65">
        <v>14420</v>
      </c>
      <c r="D73" s="65">
        <v>13874</v>
      </c>
      <c r="E73" s="65">
        <v>16123</v>
      </c>
      <c r="F73" s="65">
        <v>15903</v>
      </c>
      <c r="G73" s="66">
        <v>10585</v>
      </c>
      <c r="H73" s="66">
        <v>9204</v>
      </c>
      <c r="I73" s="66">
        <v>14453</v>
      </c>
      <c r="J73" s="66">
        <v>15420</v>
      </c>
      <c r="K73" s="66">
        <v>16652</v>
      </c>
      <c r="L73" s="66">
        <v>14545</v>
      </c>
      <c r="M73" s="66">
        <v>10334</v>
      </c>
    </row>
    <row r="74" spans="1:13" s="53" customFormat="1" ht="13.8" customHeight="1" x14ac:dyDescent="0.45">
      <c r="A74" s="73" t="s">
        <v>27</v>
      </c>
      <c r="B74" s="41">
        <v>476794</v>
      </c>
      <c r="C74" s="41">
        <v>391060</v>
      </c>
      <c r="D74" s="41">
        <v>479608</v>
      </c>
      <c r="E74" s="41">
        <v>443654</v>
      </c>
      <c r="F74" s="37">
        <v>460163</v>
      </c>
      <c r="G74" s="37">
        <v>440896</v>
      </c>
      <c r="H74" s="37">
        <v>429636</v>
      </c>
      <c r="I74" s="74">
        <v>416138</v>
      </c>
      <c r="J74" s="74">
        <v>430196</v>
      </c>
      <c r="K74" s="74">
        <v>428502</v>
      </c>
      <c r="L74" s="74">
        <v>410944</v>
      </c>
      <c r="M74" s="74">
        <v>363004</v>
      </c>
    </row>
    <row r="75" spans="1:13" ht="13.8" customHeight="1" x14ac:dyDescent="0.45">
      <c r="A75" s="49">
        <v>2020</v>
      </c>
      <c r="B75" s="49" t="s">
        <v>3</v>
      </c>
      <c r="C75" s="49" t="s">
        <v>4</v>
      </c>
      <c r="D75" s="49" t="s">
        <v>5</v>
      </c>
      <c r="E75" s="49" t="s">
        <v>6</v>
      </c>
      <c r="F75" s="49" t="s">
        <v>1</v>
      </c>
      <c r="G75" s="49" t="s">
        <v>7</v>
      </c>
      <c r="H75" s="49" t="s">
        <v>8</v>
      </c>
      <c r="I75" s="49" t="s">
        <v>9</v>
      </c>
      <c r="J75" s="49" t="s">
        <v>10</v>
      </c>
      <c r="K75" s="49" t="s">
        <v>11</v>
      </c>
      <c r="L75" s="49" t="s">
        <v>12</v>
      </c>
      <c r="M75" s="49" t="s">
        <v>13</v>
      </c>
    </row>
    <row r="76" spans="1:13" s="53" customFormat="1" ht="13.8" customHeight="1" x14ac:dyDescent="0.45">
      <c r="A76" s="50" t="s">
        <v>23</v>
      </c>
      <c r="B76" s="51">
        <v>60657</v>
      </c>
      <c r="C76" s="51">
        <v>71006</v>
      </c>
      <c r="D76" s="51">
        <v>72696</v>
      </c>
      <c r="E76" s="51">
        <v>53114</v>
      </c>
      <c r="F76" s="51">
        <v>47116</v>
      </c>
      <c r="G76" s="52">
        <v>64662</v>
      </c>
      <c r="H76" s="52">
        <v>58011</v>
      </c>
      <c r="I76" s="52">
        <v>42549</v>
      </c>
      <c r="J76" s="52">
        <v>66851</v>
      </c>
      <c r="K76" s="52">
        <v>66509</v>
      </c>
      <c r="L76" s="52">
        <v>64843</v>
      </c>
      <c r="M76" s="52">
        <v>61486</v>
      </c>
    </row>
    <row r="77" spans="1:13" s="53" customFormat="1" ht="13.8" customHeight="1" thickBot="1" x14ac:dyDescent="0.5">
      <c r="A77" s="54" t="s">
        <v>24</v>
      </c>
      <c r="B77" s="39">
        <v>325093</v>
      </c>
      <c r="C77" s="39">
        <v>218250</v>
      </c>
      <c r="D77" s="39">
        <v>202692</v>
      </c>
      <c r="E77" s="39">
        <v>159633</v>
      </c>
      <c r="F77" s="55">
        <v>174499</v>
      </c>
      <c r="G77" s="56">
        <v>324801</v>
      </c>
      <c r="H77" s="56">
        <v>365787</v>
      </c>
      <c r="I77" s="56">
        <v>346930</v>
      </c>
      <c r="J77" s="56">
        <v>405847</v>
      </c>
      <c r="K77" s="56">
        <v>386231</v>
      </c>
      <c r="L77" s="56">
        <v>392834</v>
      </c>
      <c r="M77" s="56">
        <v>366506</v>
      </c>
    </row>
    <row r="78" spans="1:13" ht="13.8" customHeight="1" x14ac:dyDescent="0.45">
      <c r="A78" s="57" t="s">
        <v>25</v>
      </c>
      <c r="B78" s="58">
        <v>153436</v>
      </c>
      <c r="C78" s="58">
        <v>145678</v>
      </c>
      <c r="D78" s="58">
        <v>105362</v>
      </c>
      <c r="E78" s="58">
        <v>0</v>
      </c>
      <c r="F78" s="58">
        <v>39158</v>
      </c>
      <c r="G78" s="59">
        <v>132718</v>
      </c>
      <c r="H78" s="59">
        <v>145135</v>
      </c>
      <c r="I78" s="59">
        <v>155335</v>
      </c>
      <c r="J78" s="59">
        <v>151564</v>
      </c>
      <c r="K78" s="59">
        <v>164995</v>
      </c>
      <c r="L78" s="59">
        <v>139829</v>
      </c>
      <c r="M78" s="59">
        <v>117328</v>
      </c>
    </row>
    <row r="79" spans="1:13" ht="13.8" customHeight="1" thickBot="1" x14ac:dyDescent="0.5">
      <c r="A79" s="60" t="s">
        <v>16</v>
      </c>
      <c r="B79" s="61">
        <v>102806</v>
      </c>
      <c r="C79" s="61">
        <v>99278</v>
      </c>
      <c r="D79" s="62">
        <v>69937</v>
      </c>
      <c r="E79" s="61">
        <v>0</v>
      </c>
      <c r="F79" s="36">
        <v>28047</v>
      </c>
      <c r="G79" s="63">
        <v>86816</v>
      </c>
      <c r="H79" s="63">
        <v>96403</v>
      </c>
      <c r="I79" s="63">
        <v>104883</v>
      </c>
      <c r="J79" s="63">
        <v>102112</v>
      </c>
      <c r="K79" s="63">
        <v>111072</v>
      </c>
      <c r="L79" s="63">
        <v>89138</v>
      </c>
      <c r="M79" s="63">
        <v>75956</v>
      </c>
    </row>
    <row r="80" spans="1:13" ht="13.8" customHeight="1" thickBot="1" x14ac:dyDescent="0.5">
      <c r="A80" s="64" t="s">
        <v>17</v>
      </c>
      <c r="B80" s="65">
        <v>8569</v>
      </c>
      <c r="C80" s="65">
        <v>7918</v>
      </c>
      <c r="D80" s="65">
        <v>5165</v>
      </c>
      <c r="E80" s="65">
        <v>0</v>
      </c>
      <c r="F80" s="65">
        <v>0</v>
      </c>
      <c r="G80" s="66">
        <v>4641</v>
      </c>
      <c r="H80" s="66">
        <v>8847</v>
      </c>
      <c r="I80" s="66">
        <v>3638</v>
      </c>
      <c r="J80" s="66">
        <v>8030</v>
      </c>
      <c r="K80" s="66">
        <v>8757</v>
      </c>
      <c r="L80" s="66">
        <v>8490</v>
      </c>
      <c r="M80" s="66">
        <v>5353</v>
      </c>
    </row>
    <row r="81" spans="1:13" ht="13.8" customHeight="1" x14ac:dyDescent="0.45">
      <c r="A81" s="67" t="s">
        <v>18</v>
      </c>
      <c r="B81" s="76">
        <v>151791</v>
      </c>
      <c r="C81" s="76">
        <v>52311</v>
      </c>
      <c r="D81" s="76">
        <v>80618</v>
      </c>
      <c r="E81" s="76">
        <v>158814</v>
      </c>
      <c r="F81" s="68">
        <v>133413</v>
      </c>
      <c r="G81" s="69">
        <v>184858</v>
      </c>
      <c r="H81" s="69">
        <v>204072</v>
      </c>
      <c r="I81" s="69">
        <v>175601</v>
      </c>
      <c r="J81" s="69">
        <v>232621</v>
      </c>
      <c r="K81" s="69">
        <v>205315</v>
      </c>
      <c r="L81" s="69">
        <v>231902</v>
      </c>
      <c r="M81" s="69">
        <v>234257</v>
      </c>
    </row>
    <row r="82" spans="1:13" ht="13.8" customHeight="1" thickBot="1" x14ac:dyDescent="0.5">
      <c r="A82" s="70" t="s">
        <v>26</v>
      </c>
      <c r="B82" s="71">
        <v>106745</v>
      </c>
      <c r="C82" s="71">
        <v>5700</v>
      </c>
      <c r="D82" s="71">
        <v>44103</v>
      </c>
      <c r="E82" s="71">
        <v>152447</v>
      </c>
      <c r="F82" s="71">
        <v>126057</v>
      </c>
      <c r="G82" s="72">
        <v>169547</v>
      </c>
      <c r="H82" s="72">
        <v>178925</v>
      </c>
      <c r="I82" s="72">
        <v>141331</v>
      </c>
      <c r="J82" s="72">
        <v>189060</v>
      </c>
      <c r="K82" s="72">
        <v>158722</v>
      </c>
      <c r="L82" s="72">
        <v>183487</v>
      </c>
      <c r="M82" s="72">
        <v>188767</v>
      </c>
    </row>
    <row r="83" spans="1:13" ht="13.8" customHeight="1" thickBot="1" x14ac:dyDescent="0.5">
      <c r="A83" s="64" t="s">
        <v>19</v>
      </c>
      <c r="B83" s="65">
        <v>11297</v>
      </c>
      <c r="C83" s="65">
        <v>12343</v>
      </c>
      <c r="D83" s="65">
        <v>11547</v>
      </c>
      <c r="E83" s="65">
        <v>819</v>
      </c>
      <c r="F83" s="65">
        <v>1928</v>
      </c>
      <c r="G83" s="66">
        <v>2584</v>
      </c>
      <c r="H83" s="66">
        <v>7733</v>
      </c>
      <c r="I83" s="66">
        <v>12356</v>
      </c>
      <c r="J83" s="66">
        <v>13632</v>
      </c>
      <c r="K83" s="66">
        <v>7164</v>
      </c>
      <c r="L83" s="66">
        <v>12613</v>
      </c>
      <c r="M83" s="66">
        <v>9568</v>
      </c>
    </row>
    <row r="84" spans="1:13" s="53" customFormat="1" ht="13.8" customHeight="1" x14ac:dyDescent="0.45">
      <c r="A84" s="73" t="s">
        <v>27</v>
      </c>
      <c r="B84" s="41">
        <v>385750</v>
      </c>
      <c r="C84" s="41">
        <v>289256</v>
      </c>
      <c r="D84" s="41">
        <v>275388</v>
      </c>
      <c r="E84" s="41">
        <v>212747</v>
      </c>
      <c r="F84" s="37">
        <v>221615</v>
      </c>
      <c r="G84" s="37">
        <v>389463</v>
      </c>
      <c r="H84" s="37">
        <v>423798</v>
      </c>
      <c r="I84" s="74">
        <v>389479</v>
      </c>
      <c r="J84" s="74">
        <v>472698</v>
      </c>
      <c r="K84" s="74">
        <v>452740</v>
      </c>
      <c r="L84" s="74">
        <v>457677</v>
      </c>
      <c r="M84" s="74">
        <v>427992</v>
      </c>
    </row>
    <row r="85" spans="1:13" s="10" customFormat="1" ht="13.8" customHeight="1" x14ac:dyDescent="0.45">
      <c r="A85" s="1">
        <v>2021</v>
      </c>
      <c r="B85" s="1" t="s">
        <v>3</v>
      </c>
      <c r="C85" s="1" t="s">
        <v>4</v>
      </c>
      <c r="D85" s="1" t="s">
        <v>5</v>
      </c>
      <c r="E85" s="1" t="s">
        <v>6</v>
      </c>
      <c r="F85" s="1" t="s">
        <v>1</v>
      </c>
      <c r="G85" s="1" t="s">
        <v>7</v>
      </c>
      <c r="H85" s="1" t="s">
        <v>8</v>
      </c>
      <c r="I85" s="1" t="s">
        <v>9</v>
      </c>
      <c r="J85" s="1" t="s">
        <v>10</v>
      </c>
      <c r="K85" s="1" t="s">
        <v>11</v>
      </c>
      <c r="L85" s="1" t="s">
        <v>12</v>
      </c>
      <c r="M85" s="1" t="s">
        <v>13</v>
      </c>
    </row>
    <row r="86" spans="1:13" s="10" customFormat="1" ht="13.8" customHeight="1" x14ac:dyDescent="0.45">
      <c r="A86" s="12" t="s">
        <v>23</v>
      </c>
      <c r="B86" s="13">
        <v>49764</v>
      </c>
      <c r="C86" s="13">
        <v>47158</v>
      </c>
      <c r="D86" s="13">
        <v>65356</v>
      </c>
      <c r="E86" s="13">
        <v>65794</v>
      </c>
      <c r="F86" s="13">
        <v>23643</v>
      </c>
      <c r="G86" s="14">
        <v>64778</v>
      </c>
      <c r="H86" s="14">
        <v>63302</v>
      </c>
      <c r="I86" s="14">
        <v>23790</v>
      </c>
      <c r="J86" s="14">
        <v>29743</v>
      </c>
      <c r="K86" s="14">
        <v>49415</v>
      </c>
      <c r="L86" s="14">
        <v>66433</v>
      </c>
      <c r="M86" s="14">
        <v>66411</v>
      </c>
    </row>
    <row r="87" spans="1:13" s="10" customFormat="1" ht="13.8" customHeight="1" thickBot="1" x14ac:dyDescent="0.5">
      <c r="A87" s="15" t="s">
        <v>24</v>
      </c>
      <c r="B87" s="38">
        <v>301922</v>
      </c>
      <c r="C87" s="39">
        <v>271674</v>
      </c>
      <c r="D87" s="38">
        <v>348503</v>
      </c>
      <c r="E87" s="38">
        <v>348738</v>
      </c>
      <c r="F87" s="16">
        <v>262213</v>
      </c>
      <c r="G87" s="17">
        <v>283758</v>
      </c>
      <c r="H87" s="17">
        <v>260815</v>
      </c>
      <c r="I87" s="17">
        <v>250566</v>
      </c>
      <c r="J87" s="17">
        <v>301284</v>
      </c>
      <c r="K87" s="17">
        <v>276988</v>
      </c>
      <c r="L87" s="17">
        <v>304936</v>
      </c>
      <c r="M87" s="17">
        <v>308666</v>
      </c>
    </row>
    <row r="88" spans="1:13" s="10" customFormat="1" ht="13.8" customHeight="1" x14ac:dyDescent="0.45">
      <c r="A88" s="18" t="s">
        <v>25</v>
      </c>
      <c r="B88" s="19">
        <v>111778</v>
      </c>
      <c r="C88" s="19">
        <v>121237</v>
      </c>
      <c r="D88" s="19">
        <v>118038</v>
      </c>
      <c r="E88" s="19">
        <v>122276</v>
      </c>
      <c r="F88" s="19">
        <v>106649</v>
      </c>
      <c r="G88" s="20">
        <v>114372</v>
      </c>
      <c r="H88" s="20">
        <v>111974</v>
      </c>
      <c r="I88" s="20">
        <v>110722</v>
      </c>
      <c r="J88" s="20">
        <v>86280</v>
      </c>
      <c r="K88" s="20">
        <v>88439</v>
      </c>
      <c r="L88" s="20">
        <v>118316</v>
      </c>
      <c r="M88" s="20">
        <v>90723</v>
      </c>
    </row>
    <row r="89" spans="1:13" s="9" customFormat="1" ht="13.8" customHeight="1" thickBot="1" x14ac:dyDescent="0.5">
      <c r="A89" s="21" t="s">
        <v>16</v>
      </c>
      <c r="B89" s="22">
        <v>72801</v>
      </c>
      <c r="C89" s="22">
        <v>77345</v>
      </c>
      <c r="D89" s="23">
        <v>79737</v>
      </c>
      <c r="E89" s="22">
        <v>86782</v>
      </c>
      <c r="F89" s="36">
        <v>76109</v>
      </c>
      <c r="G89" s="24">
        <v>70869</v>
      </c>
      <c r="H89" s="24">
        <v>70324</v>
      </c>
      <c r="I89" s="24">
        <v>76307</v>
      </c>
      <c r="J89" s="24">
        <v>53625</v>
      </c>
      <c r="K89" s="24">
        <v>60326</v>
      </c>
      <c r="L89" s="24">
        <v>72540</v>
      </c>
      <c r="M89" s="24">
        <v>59559</v>
      </c>
    </row>
    <row r="90" spans="1:13" s="10" customFormat="1" ht="14.4" thickBot="1" x14ac:dyDescent="0.5">
      <c r="A90" s="25" t="s">
        <v>17</v>
      </c>
      <c r="B90" s="26">
        <v>5369</v>
      </c>
      <c r="C90" s="26">
        <v>7734</v>
      </c>
      <c r="D90" s="26">
        <v>9918</v>
      </c>
      <c r="E90" s="26">
        <v>8687</v>
      </c>
      <c r="F90" s="26">
        <v>8200</v>
      </c>
      <c r="G90" s="27">
        <v>6921</v>
      </c>
      <c r="H90" s="27">
        <v>7444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</row>
    <row r="91" spans="1:13" s="10" customFormat="1" ht="13.8" customHeight="1" x14ac:dyDescent="0.45">
      <c r="A91" s="4" t="s">
        <v>18</v>
      </c>
      <c r="B91" s="40">
        <v>174521</v>
      </c>
      <c r="C91" s="40">
        <v>134135</v>
      </c>
      <c r="D91" s="40">
        <v>209402</v>
      </c>
      <c r="E91" s="40">
        <v>209156</v>
      </c>
      <c r="F91" s="28">
        <v>135737</v>
      </c>
      <c r="G91" s="29">
        <v>151935</v>
      </c>
      <c r="H91" s="29">
        <v>134119</v>
      </c>
      <c r="I91" s="29">
        <v>127067</v>
      </c>
      <c r="J91" s="29">
        <v>204889</v>
      </c>
      <c r="K91" s="29">
        <v>181720</v>
      </c>
      <c r="L91" s="29">
        <v>179213</v>
      </c>
      <c r="M91" s="29">
        <v>212310</v>
      </c>
    </row>
    <row r="92" spans="1:13" s="10" customFormat="1" ht="13.8" customHeight="1" thickBot="1" x14ac:dyDescent="0.5">
      <c r="A92" s="30" t="s">
        <v>26</v>
      </c>
      <c r="B92" s="31">
        <v>136271</v>
      </c>
      <c r="C92" s="31">
        <v>90819</v>
      </c>
      <c r="D92" s="31">
        <v>161446</v>
      </c>
      <c r="E92" s="31">
        <v>171149</v>
      </c>
      <c r="F92" s="31">
        <v>109224</v>
      </c>
      <c r="G92" s="32">
        <v>116965</v>
      </c>
      <c r="H92" s="32">
        <v>98436</v>
      </c>
      <c r="I92" s="32">
        <v>87553</v>
      </c>
      <c r="J92" s="32">
        <v>169306</v>
      </c>
      <c r="K92" s="32">
        <v>138492</v>
      </c>
      <c r="L92" s="32">
        <v>135290</v>
      </c>
      <c r="M92" s="32">
        <v>163259</v>
      </c>
    </row>
    <row r="93" spans="1:13" s="10" customFormat="1" ht="13.8" customHeight="1" thickBot="1" x14ac:dyDescent="0.5">
      <c r="A93" s="25" t="s">
        <v>19</v>
      </c>
      <c r="B93" s="26">
        <v>10254</v>
      </c>
      <c r="C93" s="26">
        <v>8568</v>
      </c>
      <c r="D93" s="26">
        <v>11145</v>
      </c>
      <c r="E93" s="26">
        <v>8619</v>
      </c>
      <c r="F93" s="26">
        <v>11627</v>
      </c>
      <c r="G93" s="27">
        <v>10530</v>
      </c>
      <c r="H93" s="27">
        <v>7278</v>
      </c>
      <c r="I93" s="27">
        <v>12777</v>
      </c>
      <c r="J93" s="27">
        <v>10115</v>
      </c>
      <c r="K93" s="27">
        <v>6829</v>
      </c>
      <c r="L93" s="27">
        <v>7407</v>
      </c>
      <c r="M93" s="27">
        <v>5633</v>
      </c>
    </row>
    <row r="94" spans="1:13" s="10" customFormat="1" ht="13.5" customHeight="1" x14ac:dyDescent="0.45">
      <c r="A94" s="33" t="s">
        <v>27</v>
      </c>
      <c r="B94" s="41">
        <v>351686</v>
      </c>
      <c r="C94" s="41">
        <v>318832</v>
      </c>
      <c r="D94" s="41">
        <v>413859</v>
      </c>
      <c r="E94" s="42">
        <v>414532</v>
      </c>
      <c r="F94" s="34">
        <v>285856</v>
      </c>
      <c r="G94" s="34">
        <v>348536</v>
      </c>
      <c r="H94" s="34">
        <v>324117</v>
      </c>
      <c r="I94" s="35">
        <v>274356</v>
      </c>
      <c r="J94" s="35">
        <v>331027</v>
      </c>
      <c r="K94" s="35">
        <v>326403</v>
      </c>
      <c r="L94" s="35">
        <v>371369</v>
      </c>
      <c r="M94" s="35">
        <v>375077</v>
      </c>
    </row>
    <row r="95" spans="1:13" s="10" customFormat="1" ht="14.25" customHeight="1" x14ac:dyDescent="0.45">
      <c r="A95" s="1">
        <v>2022</v>
      </c>
      <c r="B95" s="1" t="s">
        <v>3</v>
      </c>
      <c r="C95" s="1" t="s">
        <v>4</v>
      </c>
      <c r="D95" s="1" t="s">
        <v>5</v>
      </c>
      <c r="E95" s="1" t="s">
        <v>6</v>
      </c>
      <c r="F95" s="1" t="s">
        <v>1</v>
      </c>
      <c r="G95" s="1" t="s">
        <v>7</v>
      </c>
      <c r="H95" s="1" t="s">
        <v>8</v>
      </c>
      <c r="I95" s="1" t="s">
        <v>9</v>
      </c>
      <c r="J95" s="1" t="s">
        <v>10</v>
      </c>
      <c r="K95" s="1" t="s">
        <v>11</v>
      </c>
      <c r="L95" s="1" t="s">
        <v>12</v>
      </c>
      <c r="M95" s="1" t="s">
        <v>13</v>
      </c>
    </row>
    <row r="96" spans="1:13" s="10" customFormat="1" ht="14.25" customHeight="1" x14ac:dyDescent="0.45">
      <c r="A96" s="12" t="s">
        <v>23</v>
      </c>
      <c r="B96" s="13">
        <v>51084</v>
      </c>
      <c r="C96" s="13">
        <v>58354</v>
      </c>
      <c r="D96" s="13">
        <v>71721</v>
      </c>
      <c r="E96" s="13">
        <v>27598</v>
      </c>
      <c r="F96" s="13">
        <v>37285</v>
      </c>
      <c r="G96" s="14">
        <v>66223</v>
      </c>
      <c r="H96" s="14">
        <v>61568</v>
      </c>
      <c r="I96" s="14">
        <v>43827</v>
      </c>
      <c r="J96" s="14">
        <v>49524</v>
      </c>
      <c r="K96" s="14">
        <v>48907</v>
      </c>
      <c r="L96" s="14">
        <v>72129</v>
      </c>
      <c r="M96" s="14">
        <v>55753</v>
      </c>
    </row>
    <row r="97" spans="1:13" s="10" customFormat="1" ht="14.25" customHeight="1" thickBot="1" x14ac:dyDescent="0.5">
      <c r="A97" s="15" t="s">
        <v>24</v>
      </c>
      <c r="B97" s="16">
        <v>307618</v>
      </c>
      <c r="C97" s="16">
        <v>286356</v>
      </c>
      <c r="D97" s="16">
        <v>317305</v>
      </c>
      <c r="E97" s="16">
        <v>161922</v>
      </c>
      <c r="F97" s="16">
        <v>207083</v>
      </c>
      <c r="G97" s="17">
        <v>321433</v>
      </c>
      <c r="H97" s="17">
        <v>283569</v>
      </c>
      <c r="I97" s="17">
        <v>303834</v>
      </c>
      <c r="J97" s="17">
        <v>293122</v>
      </c>
      <c r="K97" s="17">
        <v>281100</v>
      </c>
      <c r="L97" s="17">
        <v>253867</v>
      </c>
      <c r="M97" s="17">
        <v>208980</v>
      </c>
    </row>
    <row r="98" spans="1:13" s="10" customFormat="1" ht="14.25" customHeight="1" x14ac:dyDescent="0.45">
      <c r="A98" s="18" t="s">
        <v>25</v>
      </c>
      <c r="B98" s="19">
        <v>99172</v>
      </c>
      <c r="C98" s="19">
        <v>109765</v>
      </c>
      <c r="D98" s="19">
        <v>112276</v>
      </c>
      <c r="E98" s="19">
        <v>88549</v>
      </c>
      <c r="F98" s="19">
        <v>82514</v>
      </c>
      <c r="G98" s="20">
        <v>111709</v>
      </c>
      <c r="H98" s="20">
        <v>63818</v>
      </c>
      <c r="I98" s="20">
        <v>121918</v>
      </c>
      <c r="J98" s="20">
        <v>117957</v>
      </c>
      <c r="K98" s="20">
        <v>101581</v>
      </c>
      <c r="L98" s="20">
        <v>103385</v>
      </c>
      <c r="M98" s="20">
        <v>86109</v>
      </c>
    </row>
    <row r="99" spans="1:13" s="10" customFormat="1" ht="13.8" customHeight="1" thickBot="1" x14ac:dyDescent="0.5">
      <c r="A99" s="21" t="s">
        <v>16</v>
      </c>
      <c r="B99" s="22">
        <v>64841</v>
      </c>
      <c r="C99" s="22">
        <v>75763</v>
      </c>
      <c r="D99" s="22">
        <v>72048</v>
      </c>
      <c r="E99" s="22">
        <v>61648</v>
      </c>
      <c r="F99" s="36">
        <v>60439</v>
      </c>
      <c r="G99" s="24">
        <v>77359</v>
      </c>
      <c r="H99" s="24">
        <v>39417</v>
      </c>
      <c r="I99" s="24">
        <v>88914</v>
      </c>
      <c r="J99" s="24">
        <v>86562</v>
      </c>
      <c r="K99" s="24">
        <v>76352</v>
      </c>
      <c r="L99" s="24">
        <v>68398</v>
      </c>
      <c r="M99" s="24">
        <v>60167</v>
      </c>
    </row>
    <row r="100" spans="1:13" s="9" customFormat="1" ht="13.8" customHeight="1" x14ac:dyDescent="0.45">
      <c r="A100" s="4" t="s">
        <v>18</v>
      </c>
      <c r="B100" s="28">
        <v>203964</v>
      </c>
      <c r="C100" s="28">
        <v>170416</v>
      </c>
      <c r="D100" s="28">
        <v>197900</v>
      </c>
      <c r="E100" s="28">
        <v>69241</v>
      </c>
      <c r="F100" s="28">
        <v>118417</v>
      </c>
      <c r="G100" s="29">
        <v>205008</v>
      </c>
      <c r="H100" s="29">
        <v>212437</v>
      </c>
      <c r="I100" s="29">
        <v>173895</v>
      </c>
      <c r="J100" s="29">
        <v>170740</v>
      </c>
      <c r="K100" s="29">
        <v>176290</v>
      </c>
      <c r="L100" s="29">
        <v>145048</v>
      </c>
      <c r="M100" s="29">
        <v>120324</v>
      </c>
    </row>
    <row r="101" spans="1:13" s="10" customFormat="1" ht="14.4" thickBot="1" x14ac:dyDescent="0.5">
      <c r="A101" s="30" t="s">
        <v>26</v>
      </c>
      <c r="B101" s="31">
        <v>156852</v>
      </c>
      <c r="C101" s="31">
        <v>126871</v>
      </c>
      <c r="D101" s="31">
        <v>146630</v>
      </c>
      <c r="E101" s="31">
        <v>31869</v>
      </c>
      <c r="F101" s="31">
        <v>79636</v>
      </c>
      <c r="G101" s="32">
        <v>162363</v>
      </c>
      <c r="H101" s="32">
        <v>169306</v>
      </c>
      <c r="I101" s="32">
        <v>128631</v>
      </c>
      <c r="J101" s="32">
        <v>122310</v>
      </c>
      <c r="K101" s="32">
        <v>131909</v>
      </c>
      <c r="L101" s="32">
        <v>94582</v>
      </c>
      <c r="M101" s="32">
        <v>73161</v>
      </c>
    </row>
    <row r="102" spans="1:13" s="10" customFormat="1" ht="13.8" customHeight="1" thickBot="1" x14ac:dyDescent="0.5">
      <c r="A102" s="25" t="s">
        <v>19</v>
      </c>
      <c r="B102" s="26">
        <v>4482</v>
      </c>
      <c r="C102" s="26">
        <v>6175</v>
      </c>
      <c r="D102" s="26">
        <v>7129</v>
      </c>
      <c r="E102" s="26">
        <v>4132</v>
      </c>
      <c r="F102" s="26">
        <v>6152</v>
      </c>
      <c r="G102" s="27">
        <v>4716</v>
      </c>
      <c r="H102" s="27">
        <v>7314</v>
      </c>
      <c r="I102" s="27">
        <v>8021</v>
      </c>
      <c r="J102" s="27">
        <v>4425</v>
      </c>
      <c r="K102" s="27">
        <v>3229</v>
      </c>
      <c r="L102" s="27">
        <v>5434</v>
      </c>
      <c r="M102" s="27">
        <v>2547</v>
      </c>
    </row>
    <row r="103" spans="1:13" s="11" customFormat="1" ht="13.8" customHeight="1" x14ac:dyDescent="0.45">
      <c r="A103" s="33" t="s">
        <v>27</v>
      </c>
      <c r="B103" s="37">
        <v>358702</v>
      </c>
      <c r="C103" s="37">
        <v>344710</v>
      </c>
      <c r="D103" s="37">
        <v>389026</v>
      </c>
      <c r="E103" s="34">
        <v>189520</v>
      </c>
      <c r="F103" s="34">
        <v>244368</v>
      </c>
      <c r="G103" s="34">
        <v>387656</v>
      </c>
      <c r="H103" s="34">
        <v>345137</v>
      </c>
      <c r="I103" s="35">
        <v>347661</v>
      </c>
      <c r="J103" s="35">
        <v>342646</v>
      </c>
      <c r="K103" s="35">
        <v>330007</v>
      </c>
      <c r="L103" s="35">
        <v>325996</v>
      </c>
      <c r="M103" s="35">
        <v>264733</v>
      </c>
    </row>
    <row r="104" spans="1:13" s="10" customFormat="1" ht="14.25" customHeight="1" x14ac:dyDescent="0.45">
      <c r="A104" s="576">
        <v>2023</v>
      </c>
      <c r="B104" s="1" t="s">
        <v>3</v>
      </c>
      <c r="C104" s="1" t="s">
        <v>4</v>
      </c>
      <c r="D104" s="1" t="s">
        <v>5</v>
      </c>
      <c r="E104" s="1" t="s">
        <v>6</v>
      </c>
      <c r="F104" s="1" t="s">
        <v>1</v>
      </c>
      <c r="G104" s="1" t="s">
        <v>7</v>
      </c>
      <c r="H104" s="1" t="s">
        <v>8</v>
      </c>
      <c r="I104" s="1" t="s">
        <v>9</v>
      </c>
      <c r="J104" s="1" t="s">
        <v>10</v>
      </c>
      <c r="K104" s="1" t="s">
        <v>11</v>
      </c>
      <c r="L104" s="1" t="s">
        <v>12</v>
      </c>
      <c r="M104" s="1" t="s">
        <v>13</v>
      </c>
    </row>
    <row r="105" spans="1:13" s="10" customFormat="1" ht="14.25" customHeight="1" x14ac:dyDescent="0.45">
      <c r="A105" s="12" t="s">
        <v>23</v>
      </c>
      <c r="B105" s="13">
        <v>47193</v>
      </c>
      <c r="C105" s="13">
        <v>60572</v>
      </c>
      <c r="D105" s="13">
        <v>72759</v>
      </c>
      <c r="E105" s="13">
        <v>45833</v>
      </c>
      <c r="F105" s="13">
        <v>44510</v>
      </c>
      <c r="G105" s="14">
        <v>56533</v>
      </c>
      <c r="H105" s="14">
        <v>58972</v>
      </c>
      <c r="I105" s="14">
        <v>51162</v>
      </c>
      <c r="J105" s="14">
        <v>61515</v>
      </c>
      <c r="K105" s="14">
        <v>73939</v>
      </c>
      <c r="L105" s="14">
        <v>76272</v>
      </c>
      <c r="M105" s="14">
        <v>69261</v>
      </c>
    </row>
    <row r="106" spans="1:13" s="10" customFormat="1" ht="14.25" customHeight="1" thickBot="1" x14ac:dyDescent="0.5">
      <c r="A106" s="15" t="s">
        <v>151</v>
      </c>
      <c r="B106" s="16">
        <v>233564</v>
      </c>
      <c r="C106" s="16">
        <v>280002</v>
      </c>
      <c r="D106" s="16">
        <v>349000</v>
      </c>
      <c r="E106" s="16">
        <v>227930</v>
      </c>
      <c r="F106" s="16">
        <v>284556</v>
      </c>
      <c r="G106" s="16">
        <v>315304</v>
      </c>
      <c r="H106" s="16">
        <v>222134</v>
      </c>
      <c r="I106" s="16">
        <v>295934</v>
      </c>
      <c r="J106" s="16">
        <v>312186</v>
      </c>
      <c r="K106" s="16">
        <v>331337</v>
      </c>
      <c r="L106" s="16">
        <v>338157</v>
      </c>
      <c r="M106" s="16">
        <v>279414</v>
      </c>
    </row>
    <row r="107" spans="1:13" s="10" customFormat="1" ht="14.25" customHeight="1" x14ac:dyDescent="0.45">
      <c r="A107" s="18" t="s">
        <v>25</v>
      </c>
      <c r="B107" s="19">
        <v>106673</v>
      </c>
      <c r="C107" s="19">
        <v>129983</v>
      </c>
      <c r="D107" s="19">
        <v>134665</v>
      </c>
      <c r="E107" s="19">
        <v>120812</v>
      </c>
      <c r="F107" s="19">
        <v>136673</v>
      </c>
      <c r="G107" s="20">
        <v>138315</v>
      </c>
      <c r="H107" s="20">
        <v>102127</v>
      </c>
      <c r="I107" s="20">
        <v>148842</v>
      </c>
      <c r="J107" s="20">
        <v>133510</v>
      </c>
      <c r="K107" s="20">
        <v>155307</v>
      </c>
      <c r="L107" s="20">
        <v>145431</v>
      </c>
      <c r="M107" s="20">
        <v>107643</v>
      </c>
    </row>
    <row r="108" spans="1:13" s="10" customFormat="1" ht="13.8" customHeight="1" thickBot="1" x14ac:dyDescent="0.5">
      <c r="A108" s="21" t="s">
        <v>16</v>
      </c>
      <c r="B108" s="22">
        <v>71009</v>
      </c>
      <c r="C108" s="22">
        <v>86835</v>
      </c>
      <c r="D108" s="22">
        <v>89614</v>
      </c>
      <c r="E108" s="22">
        <v>84250</v>
      </c>
      <c r="F108" s="36">
        <v>87889</v>
      </c>
      <c r="G108" s="24">
        <v>91312</v>
      </c>
      <c r="H108" s="24">
        <v>62079</v>
      </c>
      <c r="I108" s="24">
        <v>99271</v>
      </c>
      <c r="J108" s="24">
        <v>86619</v>
      </c>
      <c r="K108" s="24">
        <v>101749</v>
      </c>
      <c r="L108" s="24">
        <v>89443</v>
      </c>
      <c r="M108" s="24">
        <v>68192</v>
      </c>
    </row>
    <row r="109" spans="1:13" s="9" customFormat="1" ht="13.8" customHeight="1" x14ac:dyDescent="0.45">
      <c r="A109" s="4" t="s">
        <v>18</v>
      </c>
      <c r="B109" s="28">
        <v>121386</v>
      </c>
      <c r="C109" s="28">
        <v>143681</v>
      </c>
      <c r="D109" s="28">
        <v>206356</v>
      </c>
      <c r="E109" s="28">
        <v>101374</v>
      </c>
      <c r="F109" s="28">
        <v>140545</v>
      </c>
      <c r="G109" s="28">
        <v>170558</v>
      </c>
      <c r="H109" s="28">
        <v>112981</v>
      </c>
      <c r="I109" s="28">
        <v>139269</v>
      </c>
      <c r="J109" s="28">
        <v>172135</v>
      </c>
      <c r="K109" s="28">
        <v>169217</v>
      </c>
      <c r="L109" s="28">
        <v>186538</v>
      </c>
      <c r="M109" s="28">
        <v>166450</v>
      </c>
    </row>
    <row r="110" spans="1:13" s="10" customFormat="1" ht="14.4" thickBot="1" x14ac:dyDescent="0.5">
      <c r="A110" s="30" t="s">
        <v>26</v>
      </c>
      <c r="B110" s="31">
        <v>71803</v>
      </c>
      <c r="C110" s="31">
        <v>91022</v>
      </c>
      <c r="D110" s="31">
        <v>150244</v>
      </c>
      <c r="E110" s="31">
        <v>73640</v>
      </c>
      <c r="F110" s="31">
        <v>99842</v>
      </c>
      <c r="G110" s="32">
        <v>131087</v>
      </c>
      <c r="H110" s="32">
        <v>72475</v>
      </c>
      <c r="I110" s="32">
        <v>89029</v>
      </c>
      <c r="J110" s="32">
        <v>119305</v>
      </c>
      <c r="K110" s="32">
        <v>115694</v>
      </c>
      <c r="L110" s="32">
        <v>130573</v>
      </c>
      <c r="M110" s="32">
        <v>121238</v>
      </c>
    </row>
    <row r="111" spans="1:13" s="10" customFormat="1" ht="13.8" customHeight="1" thickBot="1" x14ac:dyDescent="0.5">
      <c r="A111" s="25" t="s">
        <v>149</v>
      </c>
      <c r="B111" s="26">
        <v>5505</v>
      </c>
      <c r="C111" s="26">
        <v>6338</v>
      </c>
      <c r="D111" s="26">
        <v>7979</v>
      </c>
      <c r="E111" s="26">
        <v>5744</v>
      </c>
      <c r="F111" s="26">
        <v>7338</v>
      </c>
      <c r="G111" s="27">
        <v>6431</v>
      </c>
      <c r="H111" s="27">
        <v>7026</v>
      </c>
      <c r="I111" s="27">
        <v>7823</v>
      </c>
      <c r="J111" s="27">
        <v>6541</v>
      </c>
      <c r="K111" s="27">
        <v>6813</v>
      </c>
      <c r="L111" s="27">
        <v>6188</v>
      </c>
      <c r="M111" s="27">
        <v>5321</v>
      </c>
    </row>
    <row r="112" spans="1:13" s="11" customFormat="1" ht="13.8" customHeight="1" x14ac:dyDescent="0.45">
      <c r="A112" s="33" t="s">
        <v>150</v>
      </c>
      <c r="B112" s="37">
        <v>280757</v>
      </c>
      <c r="C112" s="37">
        <v>340574</v>
      </c>
      <c r="D112" s="37">
        <v>421759</v>
      </c>
      <c r="E112" s="34">
        <v>273763</v>
      </c>
      <c r="F112" s="34">
        <v>329066</v>
      </c>
      <c r="G112" s="34">
        <v>371837</v>
      </c>
      <c r="H112" s="34">
        <v>281106</v>
      </c>
      <c r="I112" s="35">
        <v>347096</v>
      </c>
      <c r="J112" s="35">
        <v>373701</v>
      </c>
      <c r="K112" s="35">
        <v>405276</v>
      </c>
      <c r="L112" s="35">
        <v>414429</v>
      </c>
      <c r="M112" s="35">
        <v>348675</v>
      </c>
    </row>
    <row r="113" spans="1:13" ht="13.8" customHeight="1" x14ac:dyDescent="0.45">
      <c r="A113" s="46" t="s">
        <v>28</v>
      </c>
    </row>
    <row r="114" spans="1:13" ht="13.8" customHeight="1" x14ac:dyDescent="0.45">
      <c r="A114" s="46" t="s">
        <v>29</v>
      </c>
      <c r="H114" s="77"/>
      <c r="I114" s="77"/>
      <c r="J114" s="77"/>
      <c r="K114" s="77"/>
      <c r="L114" s="77"/>
      <c r="M114" s="77"/>
    </row>
    <row r="115" spans="1:13" ht="13.8" customHeight="1" x14ac:dyDescent="0.45">
      <c r="A115" s="46" t="s">
        <v>30</v>
      </c>
    </row>
    <row r="116" spans="1:13" ht="13.8" customHeight="1" x14ac:dyDescent="0.45"/>
    <row r="117" spans="1:13" s="48" customFormat="1" ht="13.8" customHeight="1" x14ac:dyDescent="0.45">
      <c r="A117" s="47" t="s">
        <v>31</v>
      </c>
      <c r="I117" s="46"/>
    </row>
    <row r="118" spans="1:13" ht="6.75" customHeight="1" x14ac:dyDescent="0.45"/>
    <row r="119" spans="1:13" ht="13.8" customHeight="1" x14ac:dyDescent="0.45">
      <c r="A119" s="49">
        <v>2013</v>
      </c>
      <c r="B119" s="49" t="s">
        <v>3</v>
      </c>
      <c r="C119" s="49" t="s">
        <v>4</v>
      </c>
      <c r="D119" s="49" t="s">
        <v>5</v>
      </c>
      <c r="E119" s="49" t="s">
        <v>6</v>
      </c>
      <c r="F119" s="49" t="s">
        <v>1</v>
      </c>
      <c r="G119" s="49" t="s">
        <v>7</v>
      </c>
      <c r="H119" s="49" t="s">
        <v>8</v>
      </c>
      <c r="I119" s="49" t="s">
        <v>9</v>
      </c>
      <c r="J119" s="49" t="s">
        <v>10</v>
      </c>
      <c r="K119" s="49" t="s">
        <v>11</v>
      </c>
      <c r="L119" s="49" t="s">
        <v>12</v>
      </c>
      <c r="M119" s="49" t="s">
        <v>13</v>
      </c>
    </row>
    <row r="120" spans="1:13" ht="13.8" customHeight="1" x14ac:dyDescent="0.45">
      <c r="A120" s="50" t="s">
        <v>32</v>
      </c>
      <c r="B120" s="51">
        <v>55642</v>
      </c>
      <c r="C120" s="51">
        <v>66393</v>
      </c>
      <c r="D120" s="51">
        <v>92090</v>
      </c>
      <c r="E120" s="51">
        <v>48497</v>
      </c>
      <c r="F120" s="51">
        <v>45438</v>
      </c>
      <c r="G120" s="51">
        <v>59966</v>
      </c>
      <c r="H120" s="51">
        <v>57393</v>
      </c>
      <c r="I120" s="51">
        <v>47559</v>
      </c>
      <c r="J120" s="51">
        <v>74779</v>
      </c>
      <c r="K120" s="51">
        <v>65337</v>
      </c>
      <c r="L120" s="51">
        <v>74008</v>
      </c>
      <c r="M120" s="51">
        <v>76231</v>
      </c>
    </row>
    <row r="121" spans="1:13" ht="13.8" customHeight="1" x14ac:dyDescent="0.25">
      <c r="A121" s="78" t="s">
        <v>33</v>
      </c>
      <c r="B121" s="79">
        <v>20949</v>
      </c>
      <c r="C121" s="79">
        <v>28729</v>
      </c>
      <c r="D121" s="79">
        <v>42876</v>
      </c>
      <c r="E121" s="80">
        <v>18170</v>
      </c>
      <c r="F121" s="80">
        <v>18310</v>
      </c>
      <c r="G121" s="80">
        <v>26729</v>
      </c>
      <c r="H121" s="81">
        <v>24013</v>
      </c>
      <c r="I121" s="81">
        <v>18978</v>
      </c>
      <c r="J121" s="81">
        <v>39398</v>
      </c>
      <c r="K121" s="81">
        <v>38008</v>
      </c>
      <c r="L121" s="81">
        <v>41324</v>
      </c>
      <c r="M121" s="81">
        <v>38763</v>
      </c>
    </row>
    <row r="122" spans="1:13" ht="13.8" customHeight="1" x14ac:dyDescent="0.25">
      <c r="A122" s="78" t="s">
        <v>34</v>
      </c>
      <c r="B122" s="79">
        <v>34693</v>
      </c>
      <c r="C122" s="79">
        <v>37664</v>
      </c>
      <c r="D122" s="79">
        <v>49214</v>
      </c>
      <c r="E122" s="80">
        <v>30327</v>
      </c>
      <c r="F122" s="80">
        <v>27128</v>
      </c>
      <c r="G122" s="80">
        <v>33217</v>
      </c>
      <c r="H122" s="81">
        <v>33380</v>
      </c>
      <c r="I122" s="81">
        <v>28581</v>
      </c>
      <c r="J122" s="81">
        <v>35381</v>
      </c>
      <c r="K122" s="81">
        <v>27329</v>
      </c>
      <c r="L122" s="81">
        <v>32684</v>
      </c>
      <c r="M122" s="81">
        <v>37468</v>
      </c>
    </row>
    <row r="123" spans="1:13" ht="13.8" customHeight="1" x14ac:dyDescent="0.45">
      <c r="A123" s="49">
        <v>2014</v>
      </c>
      <c r="B123" s="49" t="s">
        <v>3</v>
      </c>
      <c r="C123" s="49" t="s">
        <v>4</v>
      </c>
      <c r="D123" s="49" t="s">
        <v>5</v>
      </c>
      <c r="E123" s="49" t="s">
        <v>6</v>
      </c>
      <c r="F123" s="49" t="s">
        <v>1</v>
      </c>
      <c r="G123" s="49" t="s">
        <v>7</v>
      </c>
      <c r="H123" s="49" t="s">
        <v>8</v>
      </c>
      <c r="I123" s="49" t="s">
        <v>9</v>
      </c>
      <c r="J123" s="49" t="s">
        <v>10</v>
      </c>
      <c r="K123" s="49" t="s">
        <v>11</v>
      </c>
      <c r="L123" s="49" t="s">
        <v>12</v>
      </c>
      <c r="M123" s="49" t="s">
        <v>13</v>
      </c>
    </row>
    <row r="124" spans="1:13" ht="13.8" customHeight="1" x14ac:dyDescent="0.45">
      <c r="A124" s="50" t="s">
        <v>32</v>
      </c>
      <c r="B124" s="51">
        <v>91504</v>
      </c>
      <c r="C124" s="51">
        <v>85922</v>
      </c>
      <c r="D124" s="51">
        <v>121745</v>
      </c>
      <c r="E124" s="51">
        <v>54172</v>
      </c>
      <c r="F124" s="51">
        <v>53988</v>
      </c>
      <c r="G124" s="51">
        <v>72913</v>
      </c>
      <c r="H124" s="51">
        <v>70971</v>
      </c>
      <c r="I124" s="51">
        <v>52750</v>
      </c>
      <c r="J124" s="51">
        <v>78462</v>
      </c>
      <c r="K124" s="51">
        <v>59144</v>
      </c>
      <c r="L124" s="51">
        <v>51472</v>
      </c>
      <c r="M124" s="51">
        <v>55710</v>
      </c>
    </row>
    <row r="125" spans="1:13" ht="13.8" customHeight="1" x14ac:dyDescent="0.25">
      <c r="A125" s="78" t="s">
        <v>33</v>
      </c>
      <c r="B125" s="79">
        <v>49409</v>
      </c>
      <c r="C125" s="79">
        <v>39986</v>
      </c>
      <c r="D125" s="79">
        <v>60926</v>
      </c>
      <c r="E125" s="80">
        <v>31325</v>
      </c>
      <c r="F125" s="80">
        <v>30085</v>
      </c>
      <c r="G125" s="80">
        <v>39623</v>
      </c>
      <c r="H125" s="81">
        <v>39733</v>
      </c>
      <c r="I125" s="81">
        <v>29809</v>
      </c>
      <c r="J125" s="81">
        <v>41888</v>
      </c>
      <c r="K125" s="81">
        <v>30416</v>
      </c>
      <c r="L125" s="81">
        <v>24964</v>
      </c>
      <c r="M125" s="81">
        <v>28186</v>
      </c>
    </row>
    <row r="126" spans="1:13" ht="13.8" customHeight="1" x14ac:dyDescent="0.25">
      <c r="A126" s="78" t="s">
        <v>34</v>
      </c>
      <c r="B126" s="79">
        <v>42095</v>
      </c>
      <c r="C126" s="79">
        <v>45936</v>
      </c>
      <c r="D126" s="79">
        <v>60819</v>
      </c>
      <c r="E126" s="80">
        <v>22847</v>
      </c>
      <c r="F126" s="80">
        <v>23903</v>
      </c>
      <c r="G126" s="80">
        <v>33290</v>
      </c>
      <c r="H126" s="81">
        <v>31238</v>
      </c>
      <c r="I126" s="81">
        <v>22941</v>
      </c>
      <c r="J126" s="81">
        <v>36574</v>
      </c>
      <c r="K126" s="81">
        <v>28728</v>
      </c>
      <c r="L126" s="81">
        <v>26508</v>
      </c>
      <c r="M126" s="81">
        <v>27524</v>
      </c>
    </row>
    <row r="127" spans="1:13" ht="13.8" customHeight="1" x14ac:dyDescent="0.45">
      <c r="A127" s="49">
        <v>2015</v>
      </c>
      <c r="B127" s="49" t="s">
        <v>3</v>
      </c>
      <c r="C127" s="49" t="s">
        <v>4</v>
      </c>
      <c r="D127" s="49" t="s">
        <v>5</v>
      </c>
      <c r="E127" s="49" t="s">
        <v>6</v>
      </c>
      <c r="F127" s="49" t="s">
        <v>1</v>
      </c>
      <c r="G127" s="49" t="s">
        <v>7</v>
      </c>
      <c r="H127" s="49" t="s">
        <v>8</v>
      </c>
      <c r="I127" s="49" t="s">
        <v>9</v>
      </c>
      <c r="J127" s="49" t="s">
        <v>10</v>
      </c>
      <c r="K127" s="49" t="s">
        <v>11</v>
      </c>
      <c r="L127" s="49" t="s">
        <v>12</v>
      </c>
      <c r="M127" s="49" t="s">
        <v>13</v>
      </c>
    </row>
    <row r="128" spans="1:13" ht="13.8" customHeight="1" x14ac:dyDescent="0.45">
      <c r="A128" s="50" t="s">
        <v>32</v>
      </c>
      <c r="B128" s="51">
        <v>63604</v>
      </c>
      <c r="C128" s="51">
        <v>71648</v>
      </c>
      <c r="D128" s="51">
        <v>103403</v>
      </c>
      <c r="E128" s="51">
        <v>41667</v>
      </c>
      <c r="F128" s="51">
        <v>46645</v>
      </c>
      <c r="G128" s="51">
        <v>67460</v>
      </c>
      <c r="H128" s="51">
        <v>60045</v>
      </c>
      <c r="I128" s="51">
        <v>47122</v>
      </c>
      <c r="J128" s="51">
        <v>67836</v>
      </c>
      <c r="K128" s="51">
        <v>55309</v>
      </c>
      <c r="L128" s="51">
        <v>53165</v>
      </c>
      <c r="M128" s="51">
        <v>48991</v>
      </c>
    </row>
    <row r="129" spans="1:13" ht="13.8" customHeight="1" x14ac:dyDescent="0.45">
      <c r="A129" s="78" t="s">
        <v>33</v>
      </c>
      <c r="B129" s="80">
        <v>29893</v>
      </c>
      <c r="C129" s="80">
        <v>33818</v>
      </c>
      <c r="D129" s="80">
        <v>47037</v>
      </c>
      <c r="E129" s="80">
        <v>22155</v>
      </c>
      <c r="F129" s="80">
        <v>26619</v>
      </c>
      <c r="G129" s="80">
        <v>37972</v>
      </c>
      <c r="H129" s="80">
        <v>36433</v>
      </c>
      <c r="I129" s="80">
        <v>26863</v>
      </c>
      <c r="J129" s="80">
        <v>35557</v>
      </c>
      <c r="K129" s="80">
        <v>31736</v>
      </c>
      <c r="L129" s="80">
        <v>27130</v>
      </c>
      <c r="M129" s="80">
        <v>26027</v>
      </c>
    </row>
    <row r="130" spans="1:13" ht="13.8" customHeight="1" x14ac:dyDescent="0.45">
      <c r="A130" s="78" t="s">
        <v>34</v>
      </c>
      <c r="B130" s="80">
        <v>33711</v>
      </c>
      <c r="C130" s="80">
        <v>37830</v>
      </c>
      <c r="D130" s="80">
        <v>56366</v>
      </c>
      <c r="E130" s="80">
        <v>19512</v>
      </c>
      <c r="F130" s="80">
        <v>20026</v>
      </c>
      <c r="G130" s="80">
        <v>29488</v>
      </c>
      <c r="H130" s="80">
        <v>23612</v>
      </c>
      <c r="I130" s="80">
        <v>20259</v>
      </c>
      <c r="J130" s="80">
        <v>32279</v>
      </c>
      <c r="K130" s="80">
        <v>23573</v>
      </c>
      <c r="L130" s="80">
        <v>26035</v>
      </c>
      <c r="M130" s="80">
        <v>22964</v>
      </c>
    </row>
    <row r="131" spans="1:13" ht="13.8" customHeight="1" x14ac:dyDescent="0.45">
      <c r="A131" s="49">
        <v>2016</v>
      </c>
      <c r="B131" s="49" t="s">
        <v>3</v>
      </c>
      <c r="C131" s="49" t="s">
        <v>4</v>
      </c>
      <c r="D131" s="49" t="s">
        <v>5</v>
      </c>
      <c r="E131" s="49" t="s">
        <v>6</v>
      </c>
      <c r="F131" s="49" t="s">
        <v>1</v>
      </c>
      <c r="G131" s="49" t="s">
        <v>7</v>
      </c>
      <c r="H131" s="49" t="s">
        <v>8</v>
      </c>
      <c r="I131" s="49" t="s">
        <v>9</v>
      </c>
      <c r="J131" s="49" t="s">
        <v>10</v>
      </c>
      <c r="K131" s="49" t="s">
        <v>11</v>
      </c>
      <c r="L131" s="49" t="s">
        <v>12</v>
      </c>
      <c r="M131" s="49" t="s">
        <v>13</v>
      </c>
    </row>
    <row r="132" spans="1:13" ht="13.8" customHeight="1" x14ac:dyDescent="0.45">
      <c r="A132" s="50" t="s">
        <v>32</v>
      </c>
      <c r="B132" s="51">
        <v>51207</v>
      </c>
      <c r="C132" s="51">
        <v>69015</v>
      </c>
      <c r="D132" s="51">
        <v>95073</v>
      </c>
      <c r="E132" s="51">
        <v>45317</v>
      </c>
      <c r="F132" s="51">
        <v>48735</v>
      </c>
      <c r="G132" s="51">
        <v>61122</v>
      </c>
      <c r="H132" s="51">
        <v>53568</v>
      </c>
      <c r="I132" s="51">
        <v>42814</v>
      </c>
      <c r="J132" s="51">
        <v>70127</v>
      </c>
      <c r="K132" s="51">
        <v>57136</v>
      </c>
      <c r="L132" s="51">
        <v>58164</v>
      </c>
      <c r="M132" s="51">
        <v>54740</v>
      </c>
    </row>
    <row r="133" spans="1:13" ht="13.8" customHeight="1" x14ac:dyDescent="0.45">
      <c r="A133" s="78" t="s">
        <v>33</v>
      </c>
      <c r="B133" s="80">
        <v>26553</v>
      </c>
      <c r="C133" s="80">
        <v>36434</v>
      </c>
      <c r="D133" s="80">
        <v>49748</v>
      </c>
      <c r="E133" s="80">
        <v>24021</v>
      </c>
      <c r="F133" s="80">
        <v>27948</v>
      </c>
      <c r="G133" s="80">
        <v>33946</v>
      </c>
      <c r="H133" s="80">
        <v>31698</v>
      </c>
      <c r="I133" s="80">
        <v>22391</v>
      </c>
      <c r="J133" s="80">
        <v>38064</v>
      </c>
      <c r="K133" s="80">
        <v>32629</v>
      </c>
      <c r="L133" s="80">
        <v>31681</v>
      </c>
      <c r="M133" s="80">
        <v>28676</v>
      </c>
    </row>
    <row r="134" spans="1:13" ht="13.8" customHeight="1" x14ac:dyDescent="0.45">
      <c r="A134" s="78" t="s">
        <v>34</v>
      </c>
      <c r="B134" s="80">
        <v>24654</v>
      </c>
      <c r="C134" s="80">
        <v>32581</v>
      </c>
      <c r="D134" s="80">
        <v>45325</v>
      </c>
      <c r="E134" s="80">
        <v>21296</v>
      </c>
      <c r="F134" s="80">
        <v>20787</v>
      </c>
      <c r="G134" s="80">
        <v>27176</v>
      </c>
      <c r="H134" s="80">
        <v>21870</v>
      </c>
      <c r="I134" s="80">
        <v>20423</v>
      </c>
      <c r="J134" s="80">
        <v>32063</v>
      </c>
      <c r="K134" s="80">
        <v>24507</v>
      </c>
      <c r="L134" s="80">
        <v>26483</v>
      </c>
      <c r="M134" s="80">
        <v>26064</v>
      </c>
    </row>
    <row r="135" spans="1:13" ht="13.8" customHeight="1" x14ac:dyDescent="0.45">
      <c r="A135" s="49">
        <v>2017</v>
      </c>
      <c r="B135" s="49" t="s">
        <v>3</v>
      </c>
      <c r="C135" s="49" t="s">
        <v>4</v>
      </c>
      <c r="D135" s="49" t="s">
        <v>5</v>
      </c>
      <c r="E135" s="49" t="s">
        <v>6</v>
      </c>
      <c r="F135" s="49" t="s">
        <v>1</v>
      </c>
      <c r="G135" s="49" t="s">
        <v>7</v>
      </c>
      <c r="H135" s="49" t="s">
        <v>8</v>
      </c>
      <c r="I135" s="49" t="s">
        <v>9</v>
      </c>
      <c r="J135" s="49" t="s">
        <v>10</v>
      </c>
      <c r="K135" s="49" t="s">
        <v>11</v>
      </c>
      <c r="L135" s="49" t="s">
        <v>12</v>
      </c>
      <c r="M135" s="49" t="s">
        <v>13</v>
      </c>
    </row>
    <row r="136" spans="1:13" ht="13.8" customHeight="1" x14ac:dyDescent="0.45">
      <c r="A136" s="50" t="s">
        <v>32</v>
      </c>
      <c r="B136" s="51">
        <v>59512</v>
      </c>
      <c r="C136" s="51">
        <v>66748</v>
      </c>
      <c r="D136" s="51">
        <v>92773</v>
      </c>
      <c r="E136" s="51">
        <v>48518</v>
      </c>
      <c r="F136" s="51">
        <v>47978</v>
      </c>
      <c r="G136" s="51">
        <v>61090</v>
      </c>
      <c r="H136" s="51">
        <v>55361</v>
      </c>
      <c r="I136" s="51">
        <v>44163</v>
      </c>
      <c r="J136" s="51">
        <v>76003</v>
      </c>
      <c r="K136" s="51">
        <v>58614</v>
      </c>
      <c r="L136" s="51">
        <v>60715</v>
      </c>
      <c r="M136" s="51">
        <v>53316</v>
      </c>
    </row>
    <row r="137" spans="1:13" ht="13.8" customHeight="1" x14ac:dyDescent="0.45">
      <c r="A137" s="78" t="s">
        <v>33</v>
      </c>
      <c r="B137" s="80">
        <v>30337</v>
      </c>
      <c r="C137" s="80">
        <v>34270</v>
      </c>
      <c r="D137" s="80">
        <v>49875</v>
      </c>
      <c r="E137" s="80">
        <v>27448</v>
      </c>
      <c r="F137" s="80">
        <v>25139</v>
      </c>
      <c r="G137" s="80">
        <v>32985</v>
      </c>
      <c r="H137" s="80">
        <v>32394</v>
      </c>
      <c r="I137" s="80">
        <v>25526</v>
      </c>
      <c r="J137" s="80">
        <v>37411</v>
      </c>
      <c r="K137" s="80">
        <v>28043</v>
      </c>
      <c r="L137" s="80">
        <v>31173</v>
      </c>
      <c r="M137" s="80">
        <v>27175</v>
      </c>
    </row>
    <row r="138" spans="1:13" ht="13.8" customHeight="1" x14ac:dyDescent="0.45">
      <c r="A138" s="78" t="s">
        <v>34</v>
      </c>
      <c r="B138" s="80">
        <v>29175</v>
      </c>
      <c r="C138" s="80">
        <v>32478</v>
      </c>
      <c r="D138" s="80">
        <v>42898</v>
      </c>
      <c r="E138" s="80">
        <v>21070</v>
      </c>
      <c r="F138" s="80">
        <v>22839</v>
      </c>
      <c r="G138" s="80">
        <v>28105</v>
      </c>
      <c r="H138" s="80">
        <v>22967</v>
      </c>
      <c r="I138" s="80">
        <v>18637</v>
      </c>
      <c r="J138" s="80">
        <v>38592</v>
      </c>
      <c r="K138" s="80">
        <v>30571</v>
      </c>
      <c r="L138" s="80">
        <v>29542</v>
      </c>
      <c r="M138" s="80">
        <v>26141</v>
      </c>
    </row>
    <row r="139" spans="1:13" ht="13.8" customHeight="1" x14ac:dyDescent="0.45">
      <c r="A139" s="49">
        <v>2018</v>
      </c>
      <c r="B139" s="49" t="s">
        <v>3</v>
      </c>
      <c r="C139" s="49" t="s">
        <v>4</v>
      </c>
      <c r="D139" s="49" t="s">
        <v>5</v>
      </c>
      <c r="E139" s="49" t="s">
        <v>6</v>
      </c>
      <c r="F139" s="49" t="s">
        <v>1</v>
      </c>
      <c r="G139" s="49" t="s">
        <v>7</v>
      </c>
      <c r="H139" s="49" t="s">
        <v>8</v>
      </c>
      <c r="I139" s="49" t="s">
        <v>9</v>
      </c>
      <c r="J139" s="49" t="s">
        <v>10</v>
      </c>
      <c r="K139" s="49" t="s">
        <v>11</v>
      </c>
      <c r="L139" s="49" t="s">
        <v>12</v>
      </c>
      <c r="M139" s="49" t="s">
        <v>13</v>
      </c>
    </row>
    <row r="140" spans="1:13" ht="13.8" customHeight="1" x14ac:dyDescent="0.45">
      <c r="A140" s="50" t="s">
        <v>32</v>
      </c>
      <c r="B140" s="51">
        <v>56409</v>
      </c>
      <c r="C140" s="51">
        <v>68749</v>
      </c>
      <c r="D140" s="51">
        <v>93824</v>
      </c>
      <c r="E140" s="51">
        <v>52482</v>
      </c>
      <c r="F140" s="51">
        <v>51637</v>
      </c>
      <c r="G140" s="51">
        <v>62624</v>
      </c>
      <c r="H140" s="51">
        <v>60866</v>
      </c>
      <c r="I140" s="51">
        <v>47696</v>
      </c>
      <c r="J140" s="51">
        <v>71090</v>
      </c>
      <c r="K140" s="51">
        <v>63838</v>
      </c>
      <c r="L140" s="51">
        <v>64181</v>
      </c>
      <c r="M140" s="51">
        <v>53781</v>
      </c>
    </row>
    <row r="141" spans="1:13" ht="13.8" customHeight="1" x14ac:dyDescent="0.45">
      <c r="A141" s="78" t="s">
        <v>33</v>
      </c>
      <c r="B141" s="80">
        <v>28092</v>
      </c>
      <c r="C141" s="80">
        <v>35981</v>
      </c>
      <c r="D141" s="80">
        <v>50701</v>
      </c>
      <c r="E141" s="80">
        <v>25332</v>
      </c>
      <c r="F141" s="80">
        <v>25827</v>
      </c>
      <c r="G141" s="80">
        <v>33136</v>
      </c>
      <c r="H141" s="80">
        <v>30722</v>
      </c>
      <c r="I141" s="80">
        <v>23389</v>
      </c>
      <c r="J141" s="80">
        <v>34042</v>
      </c>
      <c r="K141" s="80">
        <v>30894</v>
      </c>
      <c r="L141" s="80">
        <v>32344</v>
      </c>
      <c r="M141" s="80">
        <v>27175</v>
      </c>
    </row>
    <row r="142" spans="1:13" ht="13.8" customHeight="1" x14ac:dyDescent="0.45">
      <c r="A142" s="78" t="s">
        <v>34</v>
      </c>
      <c r="B142" s="80">
        <v>28317</v>
      </c>
      <c r="C142" s="80">
        <v>32768</v>
      </c>
      <c r="D142" s="80">
        <v>43123</v>
      </c>
      <c r="E142" s="80">
        <v>27150</v>
      </c>
      <c r="F142" s="80">
        <v>25810</v>
      </c>
      <c r="G142" s="80">
        <v>29488</v>
      </c>
      <c r="H142" s="80">
        <v>30144</v>
      </c>
      <c r="I142" s="80">
        <v>24307</v>
      </c>
      <c r="J142" s="80">
        <v>37048</v>
      </c>
      <c r="K142" s="80">
        <v>32944</v>
      </c>
      <c r="L142" s="80">
        <v>31837</v>
      </c>
      <c r="M142" s="80">
        <v>26606</v>
      </c>
    </row>
    <row r="143" spans="1:13" ht="13.8" customHeight="1" x14ac:dyDescent="0.45">
      <c r="A143" s="49">
        <v>2019</v>
      </c>
      <c r="B143" s="49" t="s">
        <v>3</v>
      </c>
      <c r="C143" s="49" t="s">
        <v>4</v>
      </c>
      <c r="D143" s="49" t="s">
        <v>5</v>
      </c>
      <c r="E143" s="49" t="s">
        <v>6</v>
      </c>
      <c r="F143" s="49" t="s">
        <v>1</v>
      </c>
      <c r="G143" s="49" t="s">
        <v>7</v>
      </c>
      <c r="H143" s="49" t="s">
        <v>8</v>
      </c>
      <c r="I143" s="49" t="s">
        <v>9</v>
      </c>
      <c r="J143" s="49" t="s">
        <v>10</v>
      </c>
      <c r="K143" s="49" t="s">
        <v>11</v>
      </c>
      <c r="L143" s="49" t="s">
        <v>12</v>
      </c>
      <c r="M143" s="49" t="s">
        <v>13</v>
      </c>
    </row>
    <row r="144" spans="1:13" ht="13.8" customHeight="1" x14ac:dyDescent="0.45">
      <c r="A144" s="50" t="s">
        <v>32</v>
      </c>
      <c r="B144" s="51">
        <v>61338</v>
      </c>
      <c r="C144" s="51">
        <v>69511</v>
      </c>
      <c r="D144" s="51">
        <v>89634</v>
      </c>
      <c r="E144" s="51">
        <v>55876</v>
      </c>
      <c r="F144" s="51">
        <v>59641</v>
      </c>
      <c r="G144" s="51">
        <v>67326</v>
      </c>
      <c r="H144" s="51">
        <v>66027</v>
      </c>
      <c r="I144" s="51">
        <v>57370</v>
      </c>
      <c r="J144" s="51">
        <v>73098</v>
      </c>
      <c r="K144" s="51">
        <v>38639</v>
      </c>
      <c r="L144" s="51">
        <v>44441</v>
      </c>
      <c r="M144" s="51">
        <v>39102</v>
      </c>
    </row>
    <row r="145" spans="1:13" ht="13.8" customHeight="1" x14ac:dyDescent="0.45">
      <c r="A145" s="78" t="s">
        <v>33</v>
      </c>
      <c r="B145" s="80">
        <v>30087</v>
      </c>
      <c r="C145" s="80">
        <v>35333</v>
      </c>
      <c r="D145" s="80">
        <v>47598</v>
      </c>
      <c r="E145" s="80">
        <v>26035</v>
      </c>
      <c r="F145" s="80">
        <v>28893</v>
      </c>
      <c r="G145" s="80">
        <v>35427</v>
      </c>
      <c r="H145" s="80">
        <v>34949</v>
      </c>
      <c r="I145" s="80">
        <v>26772</v>
      </c>
      <c r="J145" s="80">
        <v>35919</v>
      </c>
      <c r="K145" s="80">
        <v>18391</v>
      </c>
      <c r="L145" s="80">
        <v>20214</v>
      </c>
      <c r="M145" s="80">
        <v>17553</v>
      </c>
    </row>
    <row r="146" spans="1:13" ht="13.5" customHeight="1" x14ac:dyDescent="0.45">
      <c r="A146" s="78" t="s">
        <v>34</v>
      </c>
      <c r="B146" s="80">
        <v>31251</v>
      </c>
      <c r="C146" s="80">
        <v>34178</v>
      </c>
      <c r="D146" s="80">
        <v>42036</v>
      </c>
      <c r="E146" s="80">
        <v>29841</v>
      </c>
      <c r="F146" s="80">
        <v>30748</v>
      </c>
      <c r="G146" s="80">
        <v>31899</v>
      </c>
      <c r="H146" s="80">
        <v>31078</v>
      </c>
      <c r="I146" s="80">
        <v>30598</v>
      </c>
      <c r="J146" s="80">
        <v>37179</v>
      </c>
      <c r="K146" s="80">
        <v>20248</v>
      </c>
      <c r="L146" s="80">
        <v>24227</v>
      </c>
      <c r="M146" s="80">
        <v>21549</v>
      </c>
    </row>
    <row r="147" spans="1:13" ht="14.25" customHeight="1" x14ac:dyDescent="0.45">
      <c r="A147" s="49">
        <v>2020</v>
      </c>
      <c r="B147" s="49" t="s">
        <v>3</v>
      </c>
      <c r="C147" s="49" t="s">
        <v>4</v>
      </c>
      <c r="D147" s="49" t="s">
        <v>5</v>
      </c>
      <c r="E147" s="49" t="s">
        <v>6</v>
      </c>
      <c r="F147" s="49" t="s">
        <v>1</v>
      </c>
      <c r="G147" s="49" t="s">
        <v>7</v>
      </c>
      <c r="H147" s="49" t="s">
        <v>8</v>
      </c>
      <c r="I147" s="49" t="s">
        <v>9</v>
      </c>
      <c r="J147" s="49" t="s">
        <v>10</v>
      </c>
      <c r="K147" s="49" t="s">
        <v>11</v>
      </c>
      <c r="L147" s="49" t="s">
        <v>12</v>
      </c>
      <c r="M147" s="49" t="s">
        <v>13</v>
      </c>
    </row>
    <row r="148" spans="1:13" ht="14.25" customHeight="1" x14ac:dyDescent="0.45">
      <c r="A148" s="50" t="s">
        <v>32</v>
      </c>
      <c r="B148" s="51">
        <v>46688</v>
      </c>
      <c r="C148" s="51">
        <v>62827</v>
      </c>
      <c r="D148" s="51">
        <v>77580</v>
      </c>
      <c r="E148" s="51">
        <v>45006</v>
      </c>
      <c r="F148" s="51">
        <v>32747</v>
      </c>
      <c r="G148" s="51">
        <v>48342</v>
      </c>
      <c r="H148" s="51">
        <v>52657</v>
      </c>
      <c r="I148" s="51">
        <v>43330</v>
      </c>
      <c r="J148" s="51">
        <v>59504</v>
      </c>
      <c r="K148" s="51">
        <v>53349</v>
      </c>
      <c r="L148" s="51">
        <v>51640</v>
      </c>
      <c r="M148" s="51">
        <v>45445</v>
      </c>
    </row>
    <row r="149" spans="1:13" ht="14.25" customHeight="1" x14ac:dyDescent="0.45">
      <c r="A149" s="78" t="s">
        <v>33</v>
      </c>
      <c r="B149" s="80">
        <v>19677</v>
      </c>
      <c r="C149" s="80">
        <v>27948</v>
      </c>
      <c r="D149" s="80">
        <v>39435</v>
      </c>
      <c r="E149" s="80">
        <v>22347</v>
      </c>
      <c r="F149" s="80">
        <v>16622</v>
      </c>
      <c r="G149" s="80">
        <v>24677</v>
      </c>
      <c r="H149" s="80">
        <v>25874</v>
      </c>
      <c r="I149" s="80">
        <v>19173</v>
      </c>
      <c r="J149" s="80">
        <v>27086</v>
      </c>
      <c r="K149" s="80">
        <v>26478</v>
      </c>
      <c r="L149" s="80">
        <v>23472</v>
      </c>
      <c r="M149" s="80">
        <v>20988</v>
      </c>
    </row>
    <row r="150" spans="1:13" ht="14.25" customHeight="1" x14ac:dyDescent="0.45">
      <c r="A150" s="78" t="s">
        <v>34</v>
      </c>
      <c r="B150" s="80">
        <v>27011</v>
      </c>
      <c r="C150" s="80">
        <v>34879</v>
      </c>
      <c r="D150" s="80">
        <v>38145</v>
      </c>
      <c r="E150" s="80">
        <v>22659</v>
      </c>
      <c r="F150" s="80">
        <v>16125</v>
      </c>
      <c r="G150" s="80">
        <v>23665</v>
      </c>
      <c r="H150" s="80">
        <v>26783</v>
      </c>
      <c r="I150" s="80">
        <v>24157</v>
      </c>
      <c r="J150" s="80">
        <v>32418</v>
      </c>
      <c r="K150" s="80">
        <v>26871</v>
      </c>
      <c r="L150" s="80">
        <v>28168</v>
      </c>
      <c r="M150" s="80">
        <v>24457</v>
      </c>
    </row>
    <row r="151" spans="1:13" s="10" customFormat="1" x14ac:dyDescent="0.45">
      <c r="A151" s="1">
        <v>2021</v>
      </c>
      <c r="B151" s="1" t="s">
        <v>3</v>
      </c>
      <c r="C151" s="1" t="s">
        <v>4</v>
      </c>
      <c r="D151" s="1" t="s">
        <v>5</v>
      </c>
      <c r="E151" s="1" t="s">
        <v>6</v>
      </c>
      <c r="F151" s="1" t="s">
        <v>1</v>
      </c>
      <c r="G151" s="1" t="s">
        <v>7</v>
      </c>
      <c r="H151" s="1" t="s">
        <v>8</v>
      </c>
      <c r="I151" s="1" t="s">
        <v>9</v>
      </c>
      <c r="J151" s="1" t="s">
        <v>10</v>
      </c>
      <c r="K151" s="1" t="s">
        <v>11</v>
      </c>
      <c r="L151" s="1" t="s">
        <v>12</v>
      </c>
      <c r="M151" s="1" t="s">
        <v>13</v>
      </c>
    </row>
    <row r="152" spans="1:13" s="10" customFormat="1" x14ac:dyDescent="0.45">
      <c r="A152" s="12" t="s">
        <v>32</v>
      </c>
      <c r="B152" s="13">
        <v>47531</v>
      </c>
      <c r="C152" s="13">
        <v>54227</v>
      </c>
      <c r="D152" s="13">
        <v>80084</v>
      </c>
      <c r="E152" s="13">
        <v>47817</v>
      </c>
      <c r="F152" s="13">
        <v>38494</v>
      </c>
      <c r="G152" s="13">
        <v>47653</v>
      </c>
      <c r="H152" s="13">
        <v>52572</v>
      </c>
      <c r="I152" s="13">
        <v>40656</v>
      </c>
      <c r="J152" s="13">
        <v>39657</v>
      </c>
      <c r="K152" s="13">
        <v>39733</v>
      </c>
      <c r="L152" s="13">
        <v>47389</v>
      </c>
      <c r="M152" s="13">
        <v>43927</v>
      </c>
    </row>
    <row r="153" spans="1:13" s="10" customFormat="1" x14ac:dyDescent="0.45">
      <c r="A153" s="7" t="s">
        <v>33</v>
      </c>
      <c r="B153" s="43">
        <v>19678</v>
      </c>
      <c r="C153" s="43">
        <v>23884</v>
      </c>
      <c r="D153" s="43">
        <v>34147</v>
      </c>
      <c r="E153" s="43">
        <v>20733</v>
      </c>
      <c r="F153" s="43">
        <v>15794</v>
      </c>
      <c r="G153" s="43">
        <v>20414</v>
      </c>
      <c r="H153" s="43">
        <v>25634</v>
      </c>
      <c r="I153" s="43">
        <v>20454</v>
      </c>
      <c r="J153" s="43">
        <v>20940</v>
      </c>
      <c r="K153" s="43">
        <v>26259</v>
      </c>
      <c r="L153" s="43">
        <v>24367</v>
      </c>
      <c r="M153" s="43">
        <v>22034</v>
      </c>
    </row>
    <row r="154" spans="1:13" s="10" customFormat="1" x14ac:dyDescent="0.45">
      <c r="A154" s="7" t="s">
        <v>34</v>
      </c>
      <c r="B154" s="43">
        <v>27853</v>
      </c>
      <c r="C154" s="43">
        <v>30343</v>
      </c>
      <c r="D154" s="43">
        <v>45937</v>
      </c>
      <c r="E154" s="43">
        <v>27084</v>
      </c>
      <c r="F154" s="43">
        <v>22700</v>
      </c>
      <c r="G154" s="43">
        <v>27239</v>
      </c>
      <c r="H154" s="43">
        <v>26938</v>
      </c>
      <c r="I154" s="43">
        <v>20202</v>
      </c>
      <c r="J154" s="43">
        <v>18717</v>
      </c>
      <c r="K154" s="43">
        <v>13474</v>
      </c>
      <c r="L154" s="43">
        <v>23022</v>
      </c>
      <c r="M154" s="43">
        <v>21893</v>
      </c>
    </row>
    <row r="155" spans="1:13" s="10" customFormat="1" x14ac:dyDescent="0.45">
      <c r="A155" s="1">
        <v>2022</v>
      </c>
      <c r="B155" s="1" t="s">
        <v>3</v>
      </c>
      <c r="C155" s="1" t="s">
        <v>4</v>
      </c>
      <c r="D155" s="1" t="s">
        <v>5</v>
      </c>
      <c r="E155" s="1" t="s">
        <v>6</v>
      </c>
      <c r="F155" s="1" t="s">
        <v>1</v>
      </c>
      <c r="G155" s="1" t="s">
        <v>7</v>
      </c>
      <c r="H155" s="1" t="s">
        <v>8</v>
      </c>
      <c r="I155" s="1" t="s">
        <v>9</v>
      </c>
      <c r="J155" s="1" t="s">
        <v>10</v>
      </c>
      <c r="K155" s="1" t="s">
        <v>11</v>
      </c>
      <c r="L155" s="1" t="s">
        <v>12</v>
      </c>
      <c r="M155" s="1" t="s">
        <v>13</v>
      </c>
    </row>
    <row r="156" spans="1:13" s="10" customFormat="1" x14ac:dyDescent="0.45">
      <c r="A156" s="12" t="s">
        <v>32</v>
      </c>
      <c r="B156" s="13">
        <v>47795</v>
      </c>
      <c r="C156" s="13">
        <v>53071</v>
      </c>
      <c r="D156" s="13">
        <v>73501</v>
      </c>
      <c r="E156" s="13">
        <v>37422</v>
      </c>
      <c r="F156" s="13">
        <v>30539</v>
      </c>
      <c r="G156" s="13">
        <v>48410</v>
      </c>
      <c r="H156" s="13">
        <v>50489</v>
      </c>
      <c r="I156" s="13">
        <v>37688</v>
      </c>
      <c r="J156" s="13">
        <v>48472</v>
      </c>
      <c r="K156" s="13">
        <v>42398</v>
      </c>
      <c r="L156" s="13">
        <v>51600</v>
      </c>
      <c r="M156" s="13">
        <v>46584</v>
      </c>
    </row>
    <row r="157" spans="1:13" s="10" customFormat="1" x14ac:dyDescent="0.45">
      <c r="A157" s="7" t="s">
        <v>33</v>
      </c>
      <c r="B157" s="43">
        <v>20617</v>
      </c>
      <c r="C157" s="43">
        <v>23264</v>
      </c>
      <c r="D157" s="43">
        <v>34279</v>
      </c>
      <c r="E157" s="43">
        <v>14868</v>
      </c>
      <c r="F157" s="43">
        <v>16871</v>
      </c>
      <c r="G157" s="43">
        <v>23494</v>
      </c>
      <c r="H157" s="43">
        <v>25334</v>
      </c>
      <c r="I157" s="43">
        <v>21149</v>
      </c>
      <c r="J157" s="43">
        <v>21112</v>
      </c>
      <c r="K157" s="43">
        <v>19958</v>
      </c>
      <c r="L157" s="43">
        <v>25945</v>
      </c>
      <c r="M157" s="43">
        <v>22107</v>
      </c>
    </row>
    <row r="158" spans="1:13" s="10" customFormat="1" x14ac:dyDescent="0.45">
      <c r="A158" s="7" t="s">
        <v>34</v>
      </c>
      <c r="B158" s="43">
        <v>27178</v>
      </c>
      <c r="C158" s="43">
        <v>29807</v>
      </c>
      <c r="D158" s="43">
        <v>39222</v>
      </c>
      <c r="E158" s="43">
        <v>22554</v>
      </c>
      <c r="F158" s="43">
        <v>13668</v>
      </c>
      <c r="G158" s="43">
        <v>24916</v>
      </c>
      <c r="H158" s="43">
        <v>25155</v>
      </c>
      <c r="I158" s="43">
        <v>16539</v>
      </c>
      <c r="J158" s="43">
        <v>27360</v>
      </c>
      <c r="K158" s="43">
        <v>22440</v>
      </c>
      <c r="L158" s="43">
        <v>25655</v>
      </c>
      <c r="M158" s="43">
        <v>24477</v>
      </c>
    </row>
    <row r="159" spans="1:13" s="10" customFormat="1" x14ac:dyDescent="0.45">
      <c r="A159" s="576">
        <v>2023</v>
      </c>
      <c r="B159" s="1" t="s">
        <v>3</v>
      </c>
      <c r="C159" s="1" t="s">
        <v>4</v>
      </c>
      <c r="D159" s="1" t="s">
        <v>5</v>
      </c>
      <c r="E159" s="1" t="s">
        <v>6</v>
      </c>
      <c r="F159" s="1" t="s">
        <v>1</v>
      </c>
      <c r="G159" s="1" t="s">
        <v>7</v>
      </c>
      <c r="H159" s="1" t="s">
        <v>8</v>
      </c>
      <c r="I159" s="1" t="s">
        <v>9</v>
      </c>
      <c r="J159" s="1" t="s">
        <v>10</v>
      </c>
      <c r="K159" s="1" t="s">
        <v>11</v>
      </c>
      <c r="L159" s="1" t="s">
        <v>12</v>
      </c>
      <c r="M159" s="1" t="s">
        <v>13</v>
      </c>
    </row>
    <row r="160" spans="1:13" s="10" customFormat="1" x14ac:dyDescent="0.45">
      <c r="A160" s="12" t="s">
        <v>32</v>
      </c>
      <c r="B160" s="13">
        <v>45018</v>
      </c>
      <c r="C160" s="13">
        <v>49889</v>
      </c>
      <c r="D160" s="13">
        <v>72097</v>
      </c>
      <c r="E160" s="13">
        <v>36569</v>
      </c>
      <c r="F160" s="13">
        <v>35189</v>
      </c>
      <c r="G160" s="13">
        <v>43245</v>
      </c>
      <c r="H160" s="13">
        <v>47644</v>
      </c>
      <c r="I160" s="13">
        <v>40560</v>
      </c>
      <c r="J160" s="13">
        <v>54162</v>
      </c>
      <c r="K160" s="13">
        <v>57668</v>
      </c>
      <c r="L160" s="13">
        <v>58263</v>
      </c>
      <c r="M160" s="13">
        <v>53963</v>
      </c>
    </row>
    <row r="161" spans="1:13" s="10" customFormat="1" x14ac:dyDescent="0.45">
      <c r="A161" s="7" t="s">
        <v>33</v>
      </c>
      <c r="B161" s="43">
        <v>17276</v>
      </c>
      <c r="C161" s="43">
        <v>21501</v>
      </c>
      <c r="D161" s="43">
        <v>32705</v>
      </c>
      <c r="E161" s="43">
        <v>15561</v>
      </c>
      <c r="F161" s="43">
        <v>15776</v>
      </c>
      <c r="G161" s="43">
        <v>21078</v>
      </c>
      <c r="H161" s="43">
        <v>23558</v>
      </c>
      <c r="I161" s="43">
        <v>17876</v>
      </c>
      <c r="J161" s="43">
        <v>25534</v>
      </c>
      <c r="K161" s="43">
        <v>27341</v>
      </c>
      <c r="L161" s="43">
        <v>29719</v>
      </c>
      <c r="M161" s="43">
        <v>27776</v>
      </c>
    </row>
    <row r="162" spans="1:13" s="10" customFormat="1" x14ac:dyDescent="0.45">
      <c r="A162" s="7" t="s">
        <v>34</v>
      </c>
      <c r="B162" s="43">
        <v>27742</v>
      </c>
      <c r="C162" s="43">
        <v>28388</v>
      </c>
      <c r="D162" s="43">
        <v>39392</v>
      </c>
      <c r="E162" s="43">
        <v>21008</v>
      </c>
      <c r="F162" s="43">
        <v>19413</v>
      </c>
      <c r="G162" s="43">
        <v>22167</v>
      </c>
      <c r="H162" s="43">
        <v>24086</v>
      </c>
      <c r="I162" s="43">
        <v>22684</v>
      </c>
      <c r="J162" s="43">
        <v>28628</v>
      </c>
      <c r="K162" s="43">
        <v>30328</v>
      </c>
      <c r="L162" s="43">
        <v>28544</v>
      </c>
      <c r="M162" s="43">
        <v>26187</v>
      </c>
    </row>
    <row r="163" spans="1:13" ht="13.8" customHeight="1" x14ac:dyDescent="0.45"/>
    <row r="164" spans="1:13" s="48" customFormat="1" ht="13.8" customHeight="1" x14ac:dyDescent="0.45">
      <c r="A164" s="47" t="s">
        <v>2</v>
      </c>
      <c r="I164" s="46"/>
    </row>
    <row r="165" spans="1:13" ht="6.75" customHeight="1" x14ac:dyDescent="0.45"/>
    <row r="166" spans="1:13" ht="13.8" customHeight="1" x14ac:dyDescent="0.45">
      <c r="A166" s="49">
        <v>2013</v>
      </c>
      <c r="B166" s="49" t="s">
        <v>3</v>
      </c>
      <c r="C166" s="49" t="s">
        <v>4</v>
      </c>
      <c r="D166" s="49" t="s">
        <v>5</v>
      </c>
      <c r="E166" s="49" t="s">
        <v>6</v>
      </c>
      <c r="F166" s="49" t="s">
        <v>1</v>
      </c>
      <c r="G166" s="49" t="s">
        <v>7</v>
      </c>
      <c r="H166" s="49" t="s">
        <v>8</v>
      </c>
      <c r="I166" s="49" t="s">
        <v>9</v>
      </c>
      <c r="J166" s="49" t="s">
        <v>10</v>
      </c>
      <c r="K166" s="49" t="s">
        <v>11</v>
      </c>
      <c r="L166" s="49" t="s">
        <v>12</v>
      </c>
      <c r="M166" s="49" t="s">
        <v>13</v>
      </c>
    </row>
    <row r="167" spans="1:13" s="53" customFormat="1" ht="13.8" customHeight="1" thickBot="1" x14ac:dyDescent="0.5">
      <c r="A167" s="82" t="s">
        <v>14</v>
      </c>
      <c r="B167" s="83">
        <v>11842</v>
      </c>
      <c r="C167" s="83">
        <v>10443</v>
      </c>
      <c r="D167" s="83">
        <v>13811</v>
      </c>
      <c r="E167" s="83">
        <v>11550</v>
      </c>
      <c r="F167" s="83">
        <v>11286</v>
      </c>
      <c r="G167" s="83">
        <v>6367</v>
      </c>
      <c r="H167" s="83">
        <v>10625</v>
      </c>
      <c r="I167" s="83">
        <v>11029</v>
      </c>
      <c r="J167" s="83">
        <v>10523</v>
      </c>
      <c r="K167" s="83">
        <v>11401</v>
      </c>
      <c r="L167" s="83">
        <v>8602</v>
      </c>
      <c r="M167" s="83">
        <v>7999</v>
      </c>
    </row>
    <row r="168" spans="1:13" ht="13.8" customHeight="1" x14ac:dyDescent="0.45">
      <c r="A168" s="67" t="s">
        <v>15</v>
      </c>
      <c r="B168" s="84">
        <v>8094</v>
      </c>
      <c r="C168" s="84">
        <v>7695</v>
      </c>
      <c r="D168" s="84">
        <v>10769</v>
      </c>
      <c r="E168" s="84">
        <v>9019</v>
      </c>
      <c r="F168" s="84">
        <v>8266</v>
      </c>
      <c r="G168" s="84">
        <v>3913</v>
      </c>
      <c r="H168" s="84">
        <v>8283</v>
      </c>
      <c r="I168" s="84">
        <v>8247</v>
      </c>
      <c r="J168" s="84">
        <v>8100</v>
      </c>
      <c r="K168" s="84">
        <v>7997</v>
      </c>
      <c r="L168" s="84">
        <v>5947</v>
      </c>
      <c r="M168" s="84">
        <v>4736</v>
      </c>
    </row>
    <row r="169" spans="1:13" ht="13.8" customHeight="1" x14ac:dyDescent="0.45">
      <c r="A169" s="78" t="s">
        <v>16</v>
      </c>
      <c r="B169" s="85">
        <v>7958</v>
      </c>
      <c r="C169" s="85">
        <v>7652</v>
      </c>
      <c r="D169" s="85">
        <v>10621</v>
      </c>
      <c r="E169" s="85">
        <v>8632</v>
      </c>
      <c r="F169" s="85">
        <v>8011</v>
      </c>
      <c r="G169" s="85">
        <v>3716</v>
      </c>
      <c r="H169" s="85">
        <v>8193</v>
      </c>
      <c r="I169" s="85">
        <v>8183</v>
      </c>
      <c r="J169" s="85">
        <v>7964</v>
      </c>
      <c r="K169" s="85">
        <v>7953</v>
      </c>
      <c r="L169" s="85">
        <v>5845</v>
      </c>
      <c r="M169" s="85">
        <v>4653</v>
      </c>
    </row>
    <row r="170" spans="1:13" ht="13.8" customHeight="1" x14ac:dyDescent="0.45">
      <c r="A170" s="78" t="s">
        <v>17</v>
      </c>
      <c r="B170" s="85">
        <v>594</v>
      </c>
      <c r="C170" s="85">
        <v>606</v>
      </c>
      <c r="D170" s="85">
        <v>429</v>
      </c>
      <c r="E170" s="85">
        <v>498</v>
      </c>
      <c r="F170" s="85">
        <v>236</v>
      </c>
      <c r="G170" s="85">
        <v>366</v>
      </c>
      <c r="H170" s="85">
        <v>665</v>
      </c>
      <c r="I170" s="85">
        <v>782</v>
      </c>
      <c r="J170" s="85">
        <v>858</v>
      </c>
      <c r="K170" s="85">
        <v>792</v>
      </c>
      <c r="L170" s="85">
        <v>762</v>
      </c>
      <c r="M170" s="85">
        <v>1106</v>
      </c>
    </row>
    <row r="171" spans="1:13" ht="13.8" customHeight="1" x14ac:dyDescent="0.45">
      <c r="A171" s="78" t="s">
        <v>18</v>
      </c>
      <c r="B171" s="85">
        <v>1321</v>
      </c>
      <c r="C171" s="85">
        <v>735</v>
      </c>
      <c r="D171" s="85">
        <v>1350</v>
      </c>
      <c r="E171" s="85">
        <v>451</v>
      </c>
      <c r="F171" s="85">
        <v>579</v>
      </c>
      <c r="G171" s="85">
        <v>595</v>
      </c>
      <c r="H171" s="85">
        <v>611</v>
      </c>
      <c r="I171" s="85">
        <v>307</v>
      </c>
      <c r="J171" s="85">
        <v>400</v>
      </c>
      <c r="K171" s="85">
        <v>484</v>
      </c>
      <c r="L171" s="85">
        <v>536</v>
      </c>
      <c r="M171" s="85">
        <v>360</v>
      </c>
    </row>
    <row r="172" spans="1:13" ht="13.8" customHeight="1" x14ac:dyDescent="0.45">
      <c r="A172" s="78" t="s">
        <v>19</v>
      </c>
      <c r="B172" s="85">
        <v>1833</v>
      </c>
      <c r="C172" s="85">
        <v>1407</v>
      </c>
      <c r="D172" s="85">
        <v>1263</v>
      </c>
      <c r="E172" s="85">
        <v>1582</v>
      </c>
      <c r="F172" s="85">
        <v>2205</v>
      </c>
      <c r="G172" s="85">
        <v>1493</v>
      </c>
      <c r="H172" s="85">
        <v>1066</v>
      </c>
      <c r="I172" s="85">
        <v>1693</v>
      </c>
      <c r="J172" s="85">
        <v>1165</v>
      </c>
      <c r="K172" s="85">
        <v>2128</v>
      </c>
      <c r="L172" s="85">
        <v>1357</v>
      </c>
      <c r="M172" s="85">
        <v>1797</v>
      </c>
    </row>
    <row r="173" spans="1:13" ht="13.8" customHeight="1" x14ac:dyDescent="0.45">
      <c r="A173" s="49">
        <v>2014</v>
      </c>
      <c r="B173" s="49" t="s">
        <v>3</v>
      </c>
      <c r="C173" s="49" t="s">
        <v>4</v>
      </c>
      <c r="D173" s="49" t="s">
        <v>5</v>
      </c>
      <c r="E173" s="49" t="s">
        <v>6</v>
      </c>
      <c r="F173" s="49" t="s">
        <v>1</v>
      </c>
      <c r="G173" s="49" t="s">
        <v>7</v>
      </c>
      <c r="H173" s="49" t="s">
        <v>8</v>
      </c>
      <c r="I173" s="49" t="s">
        <v>9</v>
      </c>
      <c r="J173" s="49" t="s">
        <v>10</v>
      </c>
      <c r="K173" s="49" t="s">
        <v>11</v>
      </c>
      <c r="L173" s="49" t="s">
        <v>12</v>
      </c>
      <c r="M173" s="49" t="s">
        <v>13</v>
      </c>
    </row>
    <row r="174" spans="1:13" s="53" customFormat="1" ht="13.8" customHeight="1" thickBot="1" x14ac:dyDescent="0.5">
      <c r="A174" s="82" t="s">
        <v>14</v>
      </c>
      <c r="B174" s="83">
        <v>3764</v>
      </c>
      <c r="C174" s="83">
        <v>1987</v>
      </c>
      <c r="D174" s="83">
        <v>2178</v>
      </c>
      <c r="E174" s="83">
        <v>2871</v>
      </c>
      <c r="F174" s="83">
        <v>2324</v>
      </c>
      <c r="G174" s="83">
        <v>3522</v>
      </c>
      <c r="H174" s="83">
        <v>2754</v>
      </c>
      <c r="I174" s="83">
        <v>2461</v>
      </c>
      <c r="J174" s="83">
        <v>3069</v>
      </c>
      <c r="K174" s="83">
        <v>2767</v>
      </c>
      <c r="L174" s="83">
        <v>2205</v>
      </c>
      <c r="M174" s="83">
        <v>1349</v>
      </c>
    </row>
    <row r="175" spans="1:13" ht="13.8" customHeight="1" x14ac:dyDescent="0.45">
      <c r="A175" s="67" t="s">
        <v>15</v>
      </c>
      <c r="B175" s="84">
        <v>2278</v>
      </c>
      <c r="C175" s="84">
        <v>632</v>
      </c>
      <c r="D175" s="84">
        <v>456</v>
      </c>
      <c r="E175" s="84">
        <v>1499</v>
      </c>
      <c r="F175" s="84">
        <v>713</v>
      </c>
      <c r="G175" s="84">
        <v>1265</v>
      </c>
      <c r="H175" s="84">
        <v>854</v>
      </c>
      <c r="I175" s="84">
        <v>442</v>
      </c>
      <c r="J175" s="84">
        <v>987</v>
      </c>
      <c r="K175" s="84">
        <v>788</v>
      </c>
      <c r="L175" s="84">
        <v>362</v>
      </c>
      <c r="M175" s="84">
        <v>306</v>
      </c>
    </row>
    <row r="176" spans="1:13" ht="13.8" customHeight="1" x14ac:dyDescent="0.45">
      <c r="A176" s="78" t="s">
        <v>16</v>
      </c>
      <c r="B176" s="85">
        <v>2224</v>
      </c>
      <c r="C176" s="85">
        <v>629</v>
      </c>
      <c r="D176" s="85">
        <v>388</v>
      </c>
      <c r="E176" s="85">
        <v>1463</v>
      </c>
      <c r="F176" s="85">
        <v>713</v>
      </c>
      <c r="G176" s="85">
        <v>1230</v>
      </c>
      <c r="H176" s="85">
        <v>737</v>
      </c>
      <c r="I176" s="85">
        <v>420</v>
      </c>
      <c r="J176" s="85">
        <v>870</v>
      </c>
      <c r="K176" s="85">
        <v>787</v>
      </c>
      <c r="L176" s="85">
        <v>362</v>
      </c>
      <c r="M176" s="85">
        <v>305</v>
      </c>
    </row>
    <row r="177" spans="1:13" ht="13.8" customHeight="1" x14ac:dyDescent="0.45">
      <c r="A177" s="78" t="s">
        <v>17</v>
      </c>
      <c r="B177" s="85">
        <v>262</v>
      </c>
      <c r="C177" s="85">
        <v>153</v>
      </c>
      <c r="D177" s="85">
        <v>97</v>
      </c>
      <c r="E177" s="85">
        <v>409</v>
      </c>
      <c r="F177" s="85">
        <v>709</v>
      </c>
      <c r="G177" s="85">
        <v>291</v>
      </c>
      <c r="H177" s="85">
        <v>212</v>
      </c>
      <c r="I177" s="85">
        <v>480</v>
      </c>
      <c r="J177" s="85">
        <v>662</v>
      </c>
      <c r="K177" s="85">
        <v>835</v>
      </c>
      <c r="L177" s="85">
        <v>661</v>
      </c>
      <c r="M177" s="85">
        <v>575</v>
      </c>
    </row>
    <row r="178" spans="1:13" ht="13.8" customHeight="1" x14ac:dyDescent="0.45">
      <c r="A178" s="78" t="s">
        <v>18</v>
      </c>
      <c r="B178" s="85">
        <v>795</v>
      </c>
      <c r="C178" s="85">
        <v>754</v>
      </c>
      <c r="D178" s="85">
        <v>934</v>
      </c>
      <c r="E178" s="85">
        <v>290</v>
      </c>
      <c r="F178" s="85">
        <v>253</v>
      </c>
      <c r="G178" s="85">
        <v>337</v>
      </c>
      <c r="H178" s="85">
        <v>762</v>
      </c>
      <c r="I178" s="85">
        <v>539</v>
      </c>
      <c r="J178" s="85">
        <v>661</v>
      </c>
      <c r="K178" s="85">
        <v>398</v>
      </c>
      <c r="L178" s="85">
        <v>624</v>
      </c>
      <c r="M178" s="85">
        <v>157</v>
      </c>
    </row>
    <row r="179" spans="1:13" ht="13.8" customHeight="1" x14ac:dyDescent="0.45">
      <c r="A179" s="78" t="s">
        <v>19</v>
      </c>
      <c r="B179" s="85">
        <v>429</v>
      </c>
      <c r="C179" s="85">
        <v>448</v>
      </c>
      <c r="D179" s="85">
        <v>691</v>
      </c>
      <c r="E179" s="85">
        <v>673</v>
      </c>
      <c r="F179" s="85">
        <v>649</v>
      </c>
      <c r="G179" s="85">
        <v>1629</v>
      </c>
      <c r="H179" s="85">
        <v>926</v>
      </c>
      <c r="I179" s="85">
        <v>1000</v>
      </c>
      <c r="J179" s="85">
        <v>759</v>
      </c>
      <c r="K179" s="85">
        <v>746</v>
      </c>
      <c r="L179" s="85">
        <v>558</v>
      </c>
      <c r="M179" s="85">
        <v>311</v>
      </c>
    </row>
    <row r="180" spans="1:13" ht="13.8" customHeight="1" x14ac:dyDescent="0.45">
      <c r="A180" s="49">
        <v>2015</v>
      </c>
      <c r="B180" s="49" t="s">
        <v>3</v>
      </c>
      <c r="C180" s="49" t="s">
        <v>4</v>
      </c>
      <c r="D180" s="49" t="s">
        <v>5</v>
      </c>
      <c r="E180" s="49" t="s">
        <v>6</v>
      </c>
      <c r="F180" s="49" t="s">
        <v>1</v>
      </c>
      <c r="G180" s="49" t="s">
        <v>7</v>
      </c>
      <c r="H180" s="49" t="s">
        <v>8</v>
      </c>
      <c r="I180" s="49" t="s">
        <v>9</v>
      </c>
      <c r="J180" s="49" t="s">
        <v>10</v>
      </c>
      <c r="K180" s="49" t="s">
        <v>11</v>
      </c>
      <c r="L180" s="49" t="s">
        <v>12</v>
      </c>
      <c r="M180" s="49" t="s">
        <v>13</v>
      </c>
    </row>
    <row r="181" spans="1:13" s="53" customFormat="1" ht="13.8" customHeight="1" thickBot="1" x14ac:dyDescent="0.5">
      <c r="A181" s="82" t="s">
        <v>14</v>
      </c>
      <c r="B181" s="83">
        <v>2427</v>
      </c>
      <c r="C181" s="83">
        <v>2073</v>
      </c>
      <c r="D181" s="83">
        <v>1862</v>
      </c>
      <c r="E181" s="83">
        <v>1376</v>
      </c>
      <c r="F181" s="83">
        <v>1882</v>
      </c>
      <c r="G181" s="83">
        <v>2349</v>
      </c>
      <c r="H181" s="83">
        <v>8248</v>
      </c>
      <c r="I181" s="83">
        <v>5041</v>
      </c>
      <c r="J181" s="83">
        <v>5495</v>
      </c>
      <c r="K181" s="83">
        <v>11118</v>
      </c>
      <c r="L181" s="83">
        <v>12691</v>
      </c>
      <c r="M181" s="83">
        <v>12904</v>
      </c>
    </row>
    <row r="182" spans="1:13" ht="13.8" customHeight="1" x14ac:dyDescent="0.45">
      <c r="A182" s="67" t="s">
        <v>15</v>
      </c>
      <c r="B182" s="84">
        <v>757</v>
      </c>
      <c r="C182" s="84">
        <v>482</v>
      </c>
      <c r="D182" s="84">
        <v>554</v>
      </c>
      <c r="E182" s="84">
        <v>341</v>
      </c>
      <c r="F182" s="84">
        <v>339</v>
      </c>
      <c r="G182" s="84">
        <v>493</v>
      </c>
      <c r="H182" s="84">
        <v>494</v>
      </c>
      <c r="I182" s="84">
        <v>13</v>
      </c>
      <c r="J182" s="84">
        <v>1061</v>
      </c>
      <c r="K182" s="84">
        <v>7261</v>
      </c>
      <c r="L182" s="86">
        <v>6887</v>
      </c>
      <c r="M182" s="86">
        <v>8120</v>
      </c>
    </row>
    <row r="183" spans="1:13" ht="13.8" customHeight="1" x14ac:dyDescent="0.45">
      <c r="A183" s="78" t="s">
        <v>16</v>
      </c>
      <c r="B183" s="85">
        <v>725</v>
      </c>
      <c r="C183" s="85">
        <v>477</v>
      </c>
      <c r="D183" s="85">
        <v>554</v>
      </c>
      <c r="E183" s="85">
        <v>340</v>
      </c>
      <c r="F183" s="85">
        <v>339</v>
      </c>
      <c r="G183" s="85">
        <v>492</v>
      </c>
      <c r="H183" s="85">
        <v>494</v>
      </c>
      <c r="I183" s="85">
        <v>13</v>
      </c>
      <c r="J183" s="85">
        <v>1011</v>
      </c>
      <c r="K183" s="85">
        <v>7198</v>
      </c>
      <c r="L183" s="85">
        <v>6848</v>
      </c>
      <c r="M183" s="85">
        <v>8066</v>
      </c>
    </row>
    <row r="184" spans="1:13" ht="13.8" customHeight="1" x14ac:dyDescent="0.45">
      <c r="A184" s="78" t="s">
        <v>17</v>
      </c>
      <c r="B184" s="85">
        <v>715</v>
      </c>
      <c r="C184" s="85">
        <v>330</v>
      </c>
      <c r="D184" s="85">
        <v>314</v>
      </c>
      <c r="E184" s="85">
        <v>0</v>
      </c>
      <c r="F184" s="85">
        <v>0</v>
      </c>
      <c r="G184" s="85">
        <v>216</v>
      </c>
      <c r="H184" s="85">
        <v>6227</v>
      </c>
      <c r="I184" s="85">
        <v>2994</v>
      </c>
      <c r="J184" s="85">
        <v>2020</v>
      </c>
      <c r="K184" s="85">
        <v>2667</v>
      </c>
      <c r="L184" s="85">
        <v>4229</v>
      </c>
      <c r="M184" s="85">
        <v>3263</v>
      </c>
    </row>
    <row r="185" spans="1:13" ht="13.8" customHeight="1" x14ac:dyDescent="0.45">
      <c r="A185" s="78" t="s">
        <v>18</v>
      </c>
      <c r="B185" s="85">
        <v>573</v>
      </c>
      <c r="C185" s="85">
        <v>693</v>
      </c>
      <c r="D185" s="85">
        <v>559</v>
      </c>
      <c r="E185" s="85">
        <v>498</v>
      </c>
      <c r="F185" s="85">
        <v>744</v>
      </c>
      <c r="G185" s="85">
        <v>1016</v>
      </c>
      <c r="H185" s="85">
        <v>876</v>
      </c>
      <c r="I185" s="85">
        <v>1219</v>
      </c>
      <c r="J185" s="85">
        <v>1579</v>
      </c>
      <c r="K185" s="85">
        <v>686</v>
      </c>
      <c r="L185" s="85">
        <v>1107</v>
      </c>
      <c r="M185" s="85">
        <v>666</v>
      </c>
    </row>
    <row r="186" spans="1:13" ht="13.8" customHeight="1" x14ac:dyDescent="0.45">
      <c r="A186" s="78" t="s">
        <v>19</v>
      </c>
      <c r="B186" s="85">
        <v>382</v>
      </c>
      <c r="C186" s="85">
        <v>568</v>
      </c>
      <c r="D186" s="85">
        <v>435</v>
      </c>
      <c r="E186" s="85">
        <v>537</v>
      </c>
      <c r="F186" s="85">
        <v>799</v>
      </c>
      <c r="G186" s="85">
        <v>624</v>
      </c>
      <c r="H186" s="85">
        <v>651</v>
      </c>
      <c r="I186" s="85">
        <v>815</v>
      </c>
      <c r="J186" s="85">
        <v>835</v>
      </c>
      <c r="K186" s="85">
        <v>504</v>
      </c>
      <c r="L186" s="85">
        <v>468</v>
      </c>
      <c r="M186" s="85">
        <v>855</v>
      </c>
    </row>
    <row r="187" spans="1:13" ht="13.8" customHeight="1" x14ac:dyDescent="0.45">
      <c r="A187" s="49">
        <v>2016</v>
      </c>
      <c r="B187" s="49" t="s">
        <v>3</v>
      </c>
      <c r="C187" s="49" t="s">
        <v>4</v>
      </c>
      <c r="D187" s="49" t="s">
        <v>5</v>
      </c>
      <c r="E187" s="49" t="s">
        <v>6</v>
      </c>
      <c r="F187" s="49" t="s">
        <v>1</v>
      </c>
      <c r="G187" s="49" t="s">
        <v>7</v>
      </c>
      <c r="H187" s="49" t="s">
        <v>8</v>
      </c>
      <c r="I187" s="49" t="s">
        <v>9</v>
      </c>
      <c r="J187" s="49" t="s">
        <v>10</v>
      </c>
      <c r="K187" s="49" t="s">
        <v>11</v>
      </c>
      <c r="L187" s="49" t="s">
        <v>12</v>
      </c>
      <c r="M187" s="49" t="s">
        <v>13</v>
      </c>
    </row>
    <row r="188" spans="1:13" s="53" customFormat="1" ht="13.8" customHeight="1" thickBot="1" x14ac:dyDescent="0.5">
      <c r="A188" s="82" t="s">
        <v>14</v>
      </c>
      <c r="B188" s="83">
        <v>10224</v>
      </c>
      <c r="C188" s="83">
        <v>11046</v>
      </c>
      <c r="D188" s="83">
        <v>14451</v>
      </c>
      <c r="E188" s="83">
        <v>10649</v>
      </c>
      <c r="F188" s="83">
        <v>5015</v>
      </c>
      <c r="G188" s="83">
        <v>15959</v>
      </c>
      <c r="H188" s="83">
        <v>15783</v>
      </c>
      <c r="I188" s="83">
        <v>10136</v>
      </c>
      <c r="J188" s="83">
        <v>13639</v>
      </c>
      <c r="K188" s="83">
        <v>12461</v>
      </c>
      <c r="L188" s="83">
        <v>12334</v>
      </c>
      <c r="M188" s="83">
        <v>15488</v>
      </c>
    </row>
    <row r="189" spans="1:13" ht="13.8" customHeight="1" x14ac:dyDescent="0.45">
      <c r="A189" s="67" t="s">
        <v>15</v>
      </c>
      <c r="B189" s="84">
        <v>5201</v>
      </c>
      <c r="C189" s="84">
        <v>6480</v>
      </c>
      <c r="D189" s="84">
        <v>8615</v>
      </c>
      <c r="E189" s="84">
        <v>5516</v>
      </c>
      <c r="F189" s="84">
        <v>1668</v>
      </c>
      <c r="G189" s="84">
        <v>9129</v>
      </c>
      <c r="H189" s="84">
        <v>9000</v>
      </c>
      <c r="I189" s="84">
        <v>5181</v>
      </c>
      <c r="J189" s="84">
        <v>8476</v>
      </c>
      <c r="K189" s="84">
        <v>6337</v>
      </c>
      <c r="L189" s="86">
        <v>7472</v>
      </c>
      <c r="M189" s="86">
        <v>9705</v>
      </c>
    </row>
    <row r="190" spans="1:13" ht="13.8" customHeight="1" x14ac:dyDescent="0.45">
      <c r="A190" s="78" t="s">
        <v>16</v>
      </c>
      <c r="B190" s="85">
        <v>5161</v>
      </c>
      <c r="C190" s="85">
        <v>6470</v>
      </c>
      <c r="D190" s="85">
        <v>8613</v>
      </c>
      <c r="E190" s="85">
        <v>5516</v>
      </c>
      <c r="F190" s="85">
        <v>1635</v>
      </c>
      <c r="G190" s="85">
        <v>9017</v>
      </c>
      <c r="H190" s="85">
        <v>8904</v>
      </c>
      <c r="I190" s="85">
        <v>5092</v>
      </c>
      <c r="J190" s="85">
        <v>8367</v>
      </c>
      <c r="K190" s="85">
        <v>6314</v>
      </c>
      <c r="L190" s="85">
        <v>7360</v>
      </c>
      <c r="M190" s="85">
        <v>9700</v>
      </c>
    </row>
    <row r="191" spans="1:13" ht="13.8" customHeight="1" x14ac:dyDescent="0.45">
      <c r="A191" s="78" t="s">
        <v>17</v>
      </c>
      <c r="B191" s="85">
        <v>3703</v>
      </c>
      <c r="C191" s="85">
        <v>2891</v>
      </c>
      <c r="D191" s="85">
        <v>4614</v>
      </c>
      <c r="E191" s="85">
        <v>2805</v>
      </c>
      <c r="F191" s="85">
        <v>1762</v>
      </c>
      <c r="G191" s="85">
        <v>4513</v>
      </c>
      <c r="H191" s="85">
        <v>4481</v>
      </c>
      <c r="I191" s="85">
        <v>2658</v>
      </c>
      <c r="J191" s="85">
        <v>2612</v>
      </c>
      <c r="K191" s="85">
        <v>3799</v>
      </c>
      <c r="L191" s="85">
        <v>2789</v>
      </c>
      <c r="M191" s="85">
        <v>4018</v>
      </c>
    </row>
    <row r="192" spans="1:13" ht="13.8" customHeight="1" x14ac:dyDescent="0.45">
      <c r="A192" s="78" t="s">
        <v>18</v>
      </c>
      <c r="B192" s="85">
        <v>793</v>
      </c>
      <c r="C192" s="85">
        <v>820</v>
      </c>
      <c r="D192" s="85">
        <v>669</v>
      </c>
      <c r="E192" s="85">
        <v>858</v>
      </c>
      <c r="F192" s="85">
        <v>752</v>
      </c>
      <c r="G192" s="85">
        <v>1574</v>
      </c>
      <c r="H192" s="85">
        <v>1435</v>
      </c>
      <c r="I192" s="85">
        <v>1636</v>
      </c>
      <c r="J192" s="85">
        <v>1752</v>
      </c>
      <c r="K192" s="85">
        <v>1001</v>
      </c>
      <c r="L192" s="85">
        <v>1020</v>
      </c>
      <c r="M192" s="85">
        <v>785</v>
      </c>
    </row>
    <row r="193" spans="1:13" ht="13.8" customHeight="1" x14ac:dyDescent="0.45">
      <c r="A193" s="78" t="s">
        <v>19</v>
      </c>
      <c r="B193" s="85">
        <v>527</v>
      </c>
      <c r="C193" s="85">
        <v>855</v>
      </c>
      <c r="D193" s="85">
        <v>553</v>
      </c>
      <c r="E193" s="85">
        <v>1470</v>
      </c>
      <c r="F193" s="85">
        <v>833</v>
      </c>
      <c r="G193" s="85">
        <v>743</v>
      </c>
      <c r="H193" s="85">
        <v>867</v>
      </c>
      <c r="I193" s="85">
        <v>661</v>
      </c>
      <c r="J193" s="85">
        <v>799</v>
      </c>
      <c r="K193" s="85">
        <v>1324</v>
      </c>
      <c r="L193" s="85">
        <v>1053</v>
      </c>
      <c r="M193" s="85">
        <v>980</v>
      </c>
    </row>
    <row r="194" spans="1:13" ht="13.8" customHeight="1" x14ac:dyDescent="0.45">
      <c r="A194" s="49">
        <v>2017</v>
      </c>
      <c r="B194" s="49" t="s">
        <v>3</v>
      </c>
      <c r="C194" s="49" t="s">
        <v>4</v>
      </c>
      <c r="D194" s="49" t="s">
        <v>5</v>
      </c>
      <c r="E194" s="49" t="s">
        <v>6</v>
      </c>
      <c r="F194" s="49" t="s">
        <v>1</v>
      </c>
      <c r="G194" s="49" t="s">
        <v>7</v>
      </c>
      <c r="H194" s="49" t="s">
        <v>8</v>
      </c>
      <c r="I194" s="49" t="s">
        <v>9</v>
      </c>
      <c r="J194" s="49" t="s">
        <v>10</v>
      </c>
      <c r="K194" s="49" t="s">
        <v>11</v>
      </c>
      <c r="L194" s="49" t="s">
        <v>12</v>
      </c>
      <c r="M194" s="49" t="s">
        <v>13</v>
      </c>
    </row>
    <row r="195" spans="1:13" s="53" customFormat="1" ht="13.8" customHeight="1" thickBot="1" x14ac:dyDescent="0.5">
      <c r="A195" s="82" t="s">
        <v>14</v>
      </c>
      <c r="B195" s="83">
        <v>4904</v>
      </c>
      <c r="C195" s="83">
        <v>7746</v>
      </c>
      <c r="D195" s="83">
        <v>6155</v>
      </c>
      <c r="E195" s="83">
        <v>5472</v>
      </c>
      <c r="F195" s="83">
        <v>6470</v>
      </c>
      <c r="G195" s="83">
        <v>8805</v>
      </c>
      <c r="H195" s="83">
        <v>6529</v>
      </c>
      <c r="I195" s="83">
        <v>4259</v>
      </c>
      <c r="J195" s="83">
        <v>3998</v>
      </c>
      <c r="K195" s="83">
        <v>5210</v>
      </c>
      <c r="L195" s="83">
        <v>9080</v>
      </c>
      <c r="M195" s="83">
        <v>12433</v>
      </c>
    </row>
    <row r="196" spans="1:13" ht="13.8" customHeight="1" x14ac:dyDescent="0.45">
      <c r="A196" s="67" t="s">
        <v>15</v>
      </c>
      <c r="B196" s="84">
        <v>1945</v>
      </c>
      <c r="C196" s="84">
        <v>3321</v>
      </c>
      <c r="D196" s="84">
        <v>3060</v>
      </c>
      <c r="E196" s="84">
        <v>1693</v>
      </c>
      <c r="F196" s="84">
        <v>2119</v>
      </c>
      <c r="G196" s="84">
        <v>2901</v>
      </c>
      <c r="H196" s="84">
        <v>1943</v>
      </c>
      <c r="I196" s="84">
        <v>1581</v>
      </c>
      <c r="J196" s="84">
        <v>878</v>
      </c>
      <c r="K196" s="84">
        <v>2336</v>
      </c>
      <c r="L196" s="86">
        <v>2467</v>
      </c>
      <c r="M196" s="86">
        <v>3316</v>
      </c>
    </row>
    <row r="197" spans="1:13" ht="13.8" customHeight="1" x14ac:dyDescent="0.45">
      <c r="A197" s="78" t="s">
        <v>16</v>
      </c>
      <c r="B197" s="85">
        <v>1906</v>
      </c>
      <c r="C197" s="85">
        <v>3272</v>
      </c>
      <c r="D197" s="85">
        <v>3035</v>
      </c>
      <c r="E197" s="85">
        <v>1624</v>
      </c>
      <c r="F197" s="85">
        <v>2045</v>
      </c>
      <c r="G197" s="85">
        <v>2812</v>
      </c>
      <c r="H197" s="85">
        <v>1883</v>
      </c>
      <c r="I197" s="85">
        <v>1580</v>
      </c>
      <c r="J197" s="85">
        <v>849</v>
      </c>
      <c r="K197" s="85">
        <v>2162</v>
      </c>
      <c r="L197" s="85">
        <v>2357</v>
      </c>
      <c r="M197" s="85">
        <v>3218</v>
      </c>
    </row>
    <row r="198" spans="1:13" ht="13.8" customHeight="1" x14ac:dyDescent="0.45">
      <c r="A198" s="78" t="s">
        <v>17</v>
      </c>
      <c r="B198" s="85">
        <v>1860</v>
      </c>
      <c r="C198" s="85">
        <v>2330</v>
      </c>
      <c r="D198" s="85">
        <v>1654</v>
      </c>
      <c r="E198" s="85">
        <v>2190</v>
      </c>
      <c r="F198" s="85">
        <v>2736</v>
      </c>
      <c r="G198" s="85">
        <v>4314</v>
      </c>
      <c r="H198" s="85">
        <v>2695</v>
      </c>
      <c r="I198" s="85">
        <v>1544</v>
      </c>
      <c r="J198" s="85">
        <v>1436</v>
      </c>
      <c r="K198" s="85">
        <v>2419</v>
      </c>
      <c r="L198" s="85">
        <v>4610</v>
      </c>
      <c r="M198" s="85">
        <v>6787</v>
      </c>
    </row>
    <row r="199" spans="1:13" ht="13.8" customHeight="1" x14ac:dyDescent="0.45">
      <c r="A199" s="78" t="s">
        <v>18</v>
      </c>
      <c r="B199" s="85">
        <v>527</v>
      </c>
      <c r="C199" s="85">
        <v>1061</v>
      </c>
      <c r="D199" s="85">
        <v>933</v>
      </c>
      <c r="E199" s="85">
        <v>696</v>
      </c>
      <c r="F199" s="85">
        <v>927</v>
      </c>
      <c r="G199" s="85">
        <v>1020</v>
      </c>
      <c r="H199" s="85">
        <v>1148</v>
      </c>
      <c r="I199" s="85">
        <v>752</v>
      </c>
      <c r="J199" s="85">
        <v>1175</v>
      </c>
      <c r="K199" s="85">
        <v>300</v>
      </c>
      <c r="L199" s="85">
        <v>968</v>
      </c>
      <c r="M199" s="85">
        <v>1224</v>
      </c>
    </row>
    <row r="200" spans="1:13" ht="13.8" customHeight="1" x14ac:dyDescent="0.45">
      <c r="A200" s="78" t="s">
        <v>19</v>
      </c>
      <c r="B200" s="85">
        <v>572</v>
      </c>
      <c r="C200" s="85">
        <v>1034</v>
      </c>
      <c r="D200" s="85">
        <v>508</v>
      </c>
      <c r="E200" s="85">
        <v>893</v>
      </c>
      <c r="F200" s="85">
        <v>688</v>
      </c>
      <c r="G200" s="85">
        <v>570</v>
      </c>
      <c r="H200" s="85">
        <v>743</v>
      </c>
      <c r="I200" s="85">
        <v>382</v>
      </c>
      <c r="J200" s="85">
        <v>509</v>
      </c>
      <c r="K200" s="85">
        <v>155</v>
      </c>
      <c r="L200" s="85">
        <v>1035</v>
      </c>
      <c r="M200" s="85">
        <v>1106</v>
      </c>
    </row>
    <row r="201" spans="1:13" ht="13.8" customHeight="1" x14ac:dyDescent="0.45">
      <c r="A201" s="49">
        <v>2018</v>
      </c>
      <c r="B201" s="49" t="s">
        <v>3</v>
      </c>
      <c r="C201" s="49" t="s">
        <v>4</v>
      </c>
      <c r="D201" s="49" t="s">
        <v>5</v>
      </c>
      <c r="E201" s="49" t="s">
        <v>6</v>
      </c>
      <c r="F201" s="49" t="s">
        <v>1</v>
      </c>
      <c r="G201" s="49" t="s">
        <v>7</v>
      </c>
      <c r="H201" s="49" t="s">
        <v>8</v>
      </c>
      <c r="I201" s="49" t="s">
        <v>9</v>
      </c>
      <c r="J201" s="49" t="s">
        <v>10</v>
      </c>
      <c r="K201" s="49" t="s">
        <v>11</v>
      </c>
      <c r="L201" s="49" t="s">
        <v>12</v>
      </c>
      <c r="M201" s="49" t="s">
        <v>13</v>
      </c>
    </row>
    <row r="202" spans="1:13" s="53" customFormat="1" ht="13.8" customHeight="1" thickBot="1" x14ac:dyDescent="0.5">
      <c r="A202" s="82" t="s">
        <v>14</v>
      </c>
      <c r="B202" s="83">
        <v>9018</v>
      </c>
      <c r="C202" s="83">
        <v>11266</v>
      </c>
      <c r="D202" s="83">
        <v>13822</v>
      </c>
      <c r="E202" s="83">
        <v>12798</v>
      </c>
      <c r="F202" s="83">
        <v>8292</v>
      </c>
      <c r="G202" s="83">
        <v>11532</v>
      </c>
      <c r="H202" s="83">
        <v>16301</v>
      </c>
      <c r="I202" s="83">
        <v>15087</v>
      </c>
      <c r="J202" s="83">
        <v>18833</v>
      </c>
      <c r="K202" s="83">
        <v>15297</v>
      </c>
      <c r="L202" s="83">
        <v>19739</v>
      </c>
      <c r="M202" s="83">
        <v>24730</v>
      </c>
    </row>
    <row r="203" spans="1:13" ht="13.8" customHeight="1" x14ac:dyDescent="0.45">
      <c r="A203" s="67" t="s">
        <v>15</v>
      </c>
      <c r="B203" s="84">
        <v>3038</v>
      </c>
      <c r="C203" s="84">
        <v>6714</v>
      </c>
      <c r="D203" s="84">
        <v>7292</v>
      </c>
      <c r="E203" s="84">
        <v>9020</v>
      </c>
      <c r="F203" s="84">
        <v>4994</v>
      </c>
      <c r="G203" s="84">
        <v>8358</v>
      </c>
      <c r="H203" s="84">
        <v>5890</v>
      </c>
      <c r="I203" s="84">
        <v>2610</v>
      </c>
      <c r="J203" s="84">
        <v>9275</v>
      </c>
      <c r="K203" s="84">
        <v>5967</v>
      </c>
      <c r="L203" s="86">
        <v>13827</v>
      </c>
      <c r="M203" s="86">
        <v>9824</v>
      </c>
    </row>
    <row r="204" spans="1:13" ht="13.8" customHeight="1" x14ac:dyDescent="0.45">
      <c r="A204" s="78" t="s">
        <v>16</v>
      </c>
      <c r="B204" s="85">
        <v>2984</v>
      </c>
      <c r="C204" s="85">
        <v>6678</v>
      </c>
      <c r="D204" s="85">
        <v>7197</v>
      </c>
      <c r="E204" s="85">
        <v>8888</v>
      </c>
      <c r="F204" s="85">
        <v>4902</v>
      </c>
      <c r="G204" s="85">
        <v>8306</v>
      </c>
      <c r="H204" s="85">
        <v>5846</v>
      </c>
      <c r="I204" s="85">
        <v>2610</v>
      </c>
      <c r="J204" s="85">
        <v>9275</v>
      </c>
      <c r="K204" s="85">
        <v>5942</v>
      </c>
      <c r="L204" s="85">
        <v>13827</v>
      </c>
      <c r="M204" s="85">
        <v>9577</v>
      </c>
    </row>
    <row r="205" spans="1:13" ht="13.8" customHeight="1" x14ac:dyDescent="0.45">
      <c r="A205" s="78" t="s">
        <v>17</v>
      </c>
      <c r="B205" s="85">
        <v>3863</v>
      </c>
      <c r="C205" s="85">
        <v>2521</v>
      </c>
      <c r="D205" s="85">
        <v>4104</v>
      </c>
      <c r="E205" s="85">
        <v>1870</v>
      </c>
      <c r="F205" s="85">
        <v>1938</v>
      </c>
      <c r="G205" s="85">
        <v>1130</v>
      </c>
      <c r="H205" s="85">
        <v>9314</v>
      </c>
      <c r="I205" s="85">
        <v>10286</v>
      </c>
      <c r="J205" s="85">
        <v>7297</v>
      </c>
      <c r="K205" s="85">
        <v>8053</v>
      </c>
      <c r="L205" s="85">
        <v>4768</v>
      </c>
      <c r="M205" s="85">
        <v>13015</v>
      </c>
    </row>
    <row r="206" spans="1:13" ht="13.8" customHeight="1" x14ac:dyDescent="0.45">
      <c r="A206" s="78" t="s">
        <v>18</v>
      </c>
      <c r="B206" s="85">
        <v>1379</v>
      </c>
      <c r="C206" s="85">
        <v>878</v>
      </c>
      <c r="D206" s="85">
        <v>1660</v>
      </c>
      <c r="E206" s="85">
        <v>1160</v>
      </c>
      <c r="F206" s="85">
        <v>517</v>
      </c>
      <c r="G206" s="85">
        <v>1200</v>
      </c>
      <c r="H206" s="85">
        <v>621</v>
      </c>
      <c r="I206" s="85">
        <v>648</v>
      </c>
      <c r="J206" s="85">
        <v>1032</v>
      </c>
      <c r="K206" s="85">
        <v>454</v>
      </c>
      <c r="L206" s="85">
        <v>677</v>
      </c>
      <c r="M206" s="85">
        <v>660</v>
      </c>
    </row>
    <row r="207" spans="1:13" ht="13.8" customHeight="1" x14ac:dyDescent="0.45">
      <c r="A207" s="78" t="s">
        <v>19</v>
      </c>
      <c r="B207" s="85">
        <v>738</v>
      </c>
      <c r="C207" s="85">
        <v>1153</v>
      </c>
      <c r="D207" s="85">
        <v>766</v>
      </c>
      <c r="E207" s="85">
        <v>748</v>
      </c>
      <c r="F207" s="85">
        <v>843</v>
      </c>
      <c r="G207" s="85">
        <v>844</v>
      </c>
      <c r="H207" s="85">
        <v>476</v>
      </c>
      <c r="I207" s="85">
        <v>1543</v>
      </c>
      <c r="J207" s="85">
        <v>1229</v>
      </c>
      <c r="K207" s="85">
        <v>823</v>
      </c>
      <c r="L207" s="85">
        <v>467</v>
      </c>
      <c r="M207" s="85">
        <v>1231</v>
      </c>
    </row>
    <row r="208" spans="1:13" ht="13.8" customHeight="1" x14ac:dyDescent="0.45">
      <c r="A208" s="49">
        <v>2019</v>
      </c>
      <c r="B208" s="49" t="s">
        <v>3</v>
      </c>
      <c r="C208" s="49" t="s">
        <v>4</v>
      </c>
      <c r="D208" s="49" t="s">
        <v>5</v>
      </c>
      <c r="E208" s="49" t="s">
        <v>6</v>
      </c>
      <c r="F208" s="49" t="s">
        <v>1</v>
      </c>
      <c r="G208" s="49" t="s">
        <v>7</v>
      </c>
      <c r="H208" s="49" t="s">
        <v>8</v>
      </c>
      <c r="I208" s="49" t="s">
        <v>9</v>
      </c>
      <c r="J208" s="49" t="s">
        <v>10</v>
      </c>
      <c r="K208" s="49" t="s">
        <v>11</v>
      </c>
      <c r="L208" s="49" t="s">
        <v>12</v>
      </c>
      <c r="M208" s="49" t="s">
        <v>13</v>
      </c>
    </row>
    <row r="209" spans="1:15" s="53" customFormat="1" ht="13.8" customHeight="1" thickBot="1" x14ac:dyDescent="0.5">
      <c r="A209" s="82" t="s">
        <v>14</v>
      </c>
      <c r="B209" s="83">
        <v>18512</v>
      </c>
      <c r="C209" s="83">
        <v>15319</v>
      </c>
      <c r="D209" s="83">
        <v>8506</v>
      </c>
      <c r="E209" s="83">
        <v>12801</v>
      </c>
      <c r="F209" s="83">
        <v>9861</v>
      </c>
      <c r="G209" s="83">
        <v>10339</v>
      </c>
      <c r="H209" s="83">
        <v>12149</v>
      </c>
      <c r="I209" s="83">
        <v>7008</v>
      </c>
      <c r="J209" s="83">
        <v>10857</v>
      </c>
      <c r="K209" s="83">
        <v>12406</v>
      </c>
      <c r="L209" s="83">
        <v>6294</v>
      </c>
      <c r="M209" s="83">
        <v>7270</v>
      </c>
    </row>
    <row r="210" spans="1:15" ht="13.8" customHeight="1" x14ac:dyDescent="0.45">
      <c r="A210" s="67" t="s">
        <v>15</v>
      </c>
      <c r="B210" s="84">
        <v>8157</v>
      </c>
      <c r="C210" s="84">
        <v>5879</v>
      </c>
      <c r="D210" s="84">
        <v>2714</v>
      </c>
      <c r="E210" s="84">
        <v>2445</v>
      </c>
      <c r="F210" s="84">
        <v>1617</v>
      </c>
      <c r="G210" s="84">
        <v>2358</v>
      </c>
      <c r="H210" s="84">
        <v>895</v>
      </c>
      <c r="I210" s="84">
        <v>773</v>
      </c>
      <c r="J210" s="84">
        <v>354</v>
      </c>
      <c r="K210" s="84">
        <v>957</v>
      </c>
      <c r="L210" s="86">
        <v>958</v>
      </c>
      <c r="M210" s="86">
        <v>950</v>
      </c>
    </row>
    <row r="211" spans="1:15" ht="13.8" customHeight="1" x14ac:dyDescent="0.45">
      <c r="A211" s="78" t="s">
        <v>16</v>
      </c>
      <c r="B211" s="85">
        <v>8040</v>
      </c>
      <c r="C211" s="85">
        <v>5674</v>
      </c>
      <c r="D211" s="85">
        <v>2712</v>
      </c>
      <c r="E211" s="85">
        <v>2352</v>
      </c>
      <c r="F211" s="85">
        <v>1457</v>
      </c>
      <c r="G211" s="85">
        <v>2253</v>
      </c>
      <c r="H211" s="85">
        <v>872</v>
      </c>
      <c r="I211" s="85">
        <v>772</v>
      </c>
      <c r="J211" s="85">
        <v>354</v>
      </c>
      <c r="K211" s="85">
        <v>957</v>
      </c>
      <c r="L211" s="85">
        <v>958</v>
      </c>
      <c r="M211" s="85">
        <v>725</v>
      </c>
    </row>
    <row r="212" spans="1:15" ht="13.8" customHeight="1" x14ac:dyDescent="0.45">
      <c r="A212" s="78" t="s">
        <v>17</v>
      </c>
      <c r="B212" s="85">
        <v>9126</v>
      </c>
      <c r="C212" s="85">
        <v>7048</v>
      </c>
      <c r="D212" s="85">
        <v>3666</v>
      </c>
      <c r="E212" s="85">
        <v>8462</v>
      </c>
      <c r="F212" s="85">
        <v>6120</v>
      </c>
      <c r="G212" s="85">
        <v>6599</v>
      </c>
      <c r="H212" s="85">
        <v>9543</v>
      </c>
      <c r="I212" s="85">
        <v>4997</v>
      </c>
      <c r="J212" s="85">
        <v>8721</v>
      </c>
      <c r="K212" s="85">
        <v>9645</v>
      </c>
      <c r="L212" s="85">
        <v>4357</v>
      </c>
      <c r="M212" s="85">
        <v>4516</v>
      </c>
    </row>
    <row r="213" spans="1:15" ht="13.8" customHeight="1" x14ac:dyDescent="0.45">
      <c r="A213" s="78" t="s">
        <v>18</v>
      </c>
      <c r="B213" s="85">
        <v>607</v>
      </c>
      <c r="C213" s="85">
        <v>1519</v>
      </c>
      <c r="D213" s="85">
        <v>1488</v>
      </c>
      <c r="E213" s="85">
        <v>917</v>
      </c>
      <c r="F213" s="85">
        <v>933</v>
      </c>
      <c r="G213" s="85">
        <v>860</v>
      </c>
      <c r="H213" s="85">
        <v>670</v>
      </c>
      <c r="I213" s="85">
        <v>541</v>
      </c>
      <c r="J213" s="85">
        <v>811</v>
      </c>
      <c r="K213" s="85">
        <v>406</v>
      </c>
      <c r="L213" s="85">
        <v>499</v>
      </c>
      <c r="M213" s="85">
        <v>551</v>
      </c>
    </row>
    <row r="214" spans="1:15" ht="13.8" customHeight="1" x14ac:dyDescent="0.45">
      <c r="A214" s="78" t="s">
        <v>19</v>
      </c>
      <c r="B214" s="85">
        <v>622</v>
      </c>
      <c r="C214" s="85">
        <v>873</v>
      </c>
      <c r="D214" s="85">
        <v>638</v>
      </c>
      <c r="E214" s="85">
        <v>977</v>
      </c>
      <c r="F214" s="85">
        <v>1191</v>
      </c>
      <c r="G214" s="85">
        <v>522</v>
      </c>
      <c r="H214" s="85">
        <v>1041</v>
      </c>
      <c r="I214" s="85">
        <v>697</v>
      </c>
      <c r="J214" s="85">
        <v>971</v>
      </c>
      <c r="K214" s="85">
        <v>1398</v>
      </c>
      <c r="L214" s="85">
        <v>480</v>
      </c>
      <c r="M214" s="85">
        <v>1253</v>
      </c>
    </row>
    <row r="215" spans="1:15" ht="13.8" customHeight="1" x14ac:dyDescent="0.45">
      <c r="A215" s="49">
        <v>2020</v>
      </c>
      <c r="B215" s="49" t="s">
        <v>3</v>
      </c>
      <c r="C215" s="49" t="s">
        <v>4</v>
      </c>
      <c r="D215" s="49" t="s">
        <v>5</v>
      </c>
      <c r="E215" s="49" t="s">
        <v>6</v>
      </c>
      <c r="F215" s="49" t="s">
        <v>1</v>
      </c>
      <c r="G215" s="49" t="s">
        <v>7</v>
      </c>
      <c r="H215" s="49" t="s">
        <v>8</v>
      </c>
      <c r="I215" s="49" t="s">
        <v>9</v>
      </c>
      <c r="J215" s="49" t="s">
        <v>10</v>
      </c>
      <c r="K215" s="49" t="s">
        <v>11</v>
      </c>
      <c r="L215" s="49" t="s">
        <v>12</v>
      </c>
      <c r="M215" s="49" t="s">
        <v>13</v>
      </c>
      <c r="O215" s="87"/>
    </row>
    <row r="216" spans="1:15" s="53" customFormat="1" ht="13.8" customHeight="1" thickBot="1" x14ac:dyDescent="0.5">
      <c r="A216" s="82" t="s">
        <v>14</v>
      </c>
      <c r="B216" s="83">
        <v>5643</v>
      </c>
      <c r="C216" s="83">
        <v>8209</v>
      </c>
      <c r="D216" s="83">
        <v>9645</v>
      </c>
      <c r="E216" s="83">
        <v>8208</v>
      </c>
      <c r="F216" s="83">
        <v>7550</v>
      </c>
      <c r="G216" s="83">
        <v>9434</v>
      </c>
      <c r="H216" s="83">
        <v>10230</v>
      </c>
      <c r="I216" s="83">
        <v>7225</v>
      </c>
      <c r="J216" s="83">
        <v>7746</v>
      </c>
      <c r="K216" s="83">
        <v>5969</v>
      </c>
      <c r="L216" s="83">
        <v>6994</v>
      </c>
      <c r="M216" s="83">
        <v>5328</v>
      </c>
      <c r="O216" s="87"/>
    </row>
    <row r="217" spans="1:15" ht="13.8" customHeight="1" x14ac:dyDescent="0.45">
      <c r="A217" s="67" t="s">
        <v>15</v>
      </c>
      <c r="B217" s="84">
        <v>729</v>
      </c>
      <c r="C217" s="84">
        <v>1120</v>
      </c>
      <c r="D217" s="84">
        <v>293</v>
      </c>
      <c r="E217" s="84">
        <v>31</v>
      </c>
      <c r="F217" s="84">
        <v>132</v>
      </c>
      <c r="G217" s="84">
        <v>1069</v>
      </c>
      <c r="H217" s="84">
        <v>574</v>
      </c>
      <c r="I217" s="84">
        <v>1069</v>
      </c>
      <c r="J217" s="84">
        <v>410</v>
      </c>
      <c r="K217" s="84">
        <v>0</v>
      </c>
      <c r="L217" s="86">
        <v>146</v>
      </c>
      <c r="M217" s="86">
        <v>77</v>
      </c>
      <c r="O217" s="87"/>
    </row>
    <row r="218" spans="1:15" ht="13.8" customHeight="1" x14ac:dyDescent="0.45">
      <c r="A218" s="78" t="s">
        <v>16</v>
      </c>
      <c r="B218" s="85">
        <v>505</v>
      </c>
      <c r="C218" s="85">
        <v>936</v>
      </c>
      <c r="D218" s="85">
        <v>293</v>
      </c>
      <c r="E218" s="85">
        <v>31</v>
      </c>
      <c r="F218" s="85">
        <v>84</v>
      </c>
      <c r="G218" s="85">
        <v>997</v>
      </c>
      <c r="H218" s="85">
        <v>574</v>
      </c>
      <c r="I218" s="85">
        <v>949</v>
      </c>
      <c r="J218" s="85">
        <v>410</v>
      </c>
      <c r="K218" s="85">
        <v>0</v>
      </c>
      <c r="L218" s="85">
        <v>145</v>
      </c>
      <c r="M218" s="85">
        <v>76</v>
      </c>
    </row>
    <row r="219" spans="1:15" ht="13.8" customHeight="1" x14ac:dyDescent="0.45">
      <c r="A219" s="78" t="s">
        <v>17</v>
      </c>
      <c r="B219" s="85">
        <v>3696</v>
      </c>
      <c r="C219" s="85">
        <v>5445</v>
      </c>
      <c r="D219" s="85">
        <v>8240</v>
      </c>
      <c r="E219" s="85">
        <v>7283</v>
      </c>
      <c r="F219" s="85">
        <v>6609</v>
      </c>
      <c r="G219" s="85">
        <v>7461</v>
      </c>
      <c r="H219" s="85">
        <v>7850</v>
      </c>
      <c r="I219" s="85">
        <v>4068</v>
      </c>
      <c r="J219" s="85">
        <v>5273</v>
      </c>
      <c r="K219" s="85">
        <v>5270</v>
      </c>
      <c r="L219" s="85">
        <v>5884</v>
      </c>
      <c r="M219" s="85">
        <v>4866</v>
      </c>
    </row>
    <row r="220" spans="1:15" ht="13.8" customHeight="1" x14ac:dyDescent="0.45">
      <c r="A220" s="78" t="s">
        <v>18</v>
      </c>
      <c r="B220" s="85">
        <v>490</v>
      </c>
      <c r="C220" s="85">
        <v>722</v>
      </c>
      <c r="D220" s="85">
        <v>619</v>
      </c>
      <c r="E220" s="85">
        <v>423</v>
      </c>
      <c r="F220" s="85">
        <v>267</v>
      </c>
      <c r="G220" s="85">
        <v>610</v>
      </c>
      <c r="H220" s="85">
        <v>894</v>
      </c>
      <c r="I220" s="85">
        <v>821</v>
      </c>
      <c r="J220" s="85">
        <v>851</v>
      </c>
      <c r="K220" s="85">
        <v>402</v>
      </c>
      <c r="L220" s="85">
        <v>681</v>
      </c>
      <c r="M220" s="85">
        <v>166</v>
      </c>
    </row>
    <row r="221" spans="1:15" ht="13.8" customHeight="1" x14ac:dyDescent="0.45">
      <c r="A221" s="78" t="s">
        <v>19</v>
      </c>
      <c r="B221" s="85">
        <v>728</v>
      </c>
      <c r="C221" s="85">
        <v>922</v>
      </c>
      <c r="D221" s="85">
        <v>493</v>
      </c>
      <c r="E221" s="85">
        <v>471</v>
      </c>
      <c r="F221" s="85">
        <v>542</v>
      </c>
      <c r="G221" s="85">
        <v>294</v>
      </c>
      <c r="H221" s="85">
        <v>912</v>
      </c>
      <c r="I221" s="85">
        <v>1267</v>
      </c>
      <c r="J221" s="85">
        <v>1212</v>
      </c>
      <c r="K221" s="85">
        <v>297</v>
      </c>
      <c r="L221" s="85">
        <v>283</v>
      </c>
      <c r="M221" s="85">
        <v>219</v>
      </c>
    </row>
    <row r="222" spans="1:15" s="10" customFormat="1" x14ac:dyDescent="0.45">
      <c r="A222" s="1">
        <v>2021</v>
      </c>
      <c r="B222" s="1" t="s">
        <v>3</v>
      </c>
      <c r="C222" s="1" t="s">
        <v>4</v>
      </c>
      <c r="D222" s="1" t="s">
        <v>5</v>
      </c>
      <c r="E222" s="1" t="s">
        <v>6</v>
      </c>
      <c r="F222" s="1" t="s">
        <v>1</v>
      </c>
      <c r="G222" s="1" t="s">
        <v>7</v>
      </c>
      <c r="H222" s="1" t="s">
        <v>8</v>
      </c>
      <c r="I222" s="1" t="s">
        <v>9</v>
      </c>
      <c r="J222" s="1" t="s">
        <v>10</v>
      </c>
      <c r="K222" s="1" t="s">
        <v>11</v>
      </c>
      <c r="L222" s="1" t="s">
        <v>12</v>
      </c>
      <c r="M222" s="1" t="s">
        <v>13</v>
      </c>
    </row>
    <row r="223" spans="1:15" s="10" customFormat="1" ht="14.4" thickBot="1" x14ac:dyDescent="0.5">
      <c r="A223" s="2" t="s">
        <v>14</v>
      </c>
      <c r="B223" s="3">
        <v>2600</v>
      </c>
      <c r="C223" s="3">
        <v>2170</v>
      </c>
      <c r="D223" s="3">
        <v>3767</v>
      </c>
      <c r="E223" s="3">
        <v>6001</v>
      </c>
      <c r="F223" s="3">
        <v>3497</v>
      </c>
      <c r="G223" s="3">
        <v>6416</v>
      </c>
      <c r="H223" s="3">
        <v>6524</v>
      </c>
      <c r="I223" s="3">
        <v>3547</v>
      </c>
      <c r="J223" s="3">
        <v>5117</v>
      </c>
      <c r="K223" s="3">
        <v>7284</v>
      </c>
      <c r="L223" s="3">
        <v>7971</v>
      </c>
      <c r="M223" s="3">
        <v>11780</v>
      </c>
    </row>
    <row r="224" spans="1:15" s="10" customFormat="1" x14ac:dyDescent="0.45">
      <c r="A224" s="4" t="s">
        <v>15</v>
      </c>
      <c r="B224" s="5">
        <v>145</v>
      </c>
      <c r="C224" s="5">
        <v>107</v>
      </c>
      <c r="D224" s="5">
        <v>517</v>
      </c>
      <c r="E224" s="5">
        <v>1370</v>
      </c>
      <c r="F224" s="5">
        <v>731</v>
      </c>
      <c r="G224" s="5">
        <v>1255</v>
      </c>
      <c r="H224" s="5">
        <v>1356</v>
      </c>
      <c r="I224" s="5">
        <v>1605</v>
      </c>
      <c r="J224" s="5">
        <v>1583</v>
      </c>
      <c r="K224" s="5">
        <v>641</v>
      </c>
      <c r="L224" s="6">
        <v>0</v>
      </c>
      <c r="M224" s="6">
        <v>1275</v>
      </c>
    </row>
    <row r="225" spans="1:13" s="10" customFormat="1" x14ac:dyDescent="0.45">
      <c r="A225" s="7" t="s">
        <v>16</v>
      </c>
      <c r="B225" s="8">
        <v>145</v>
      </c>
      <c r="C225" s="8">
        <v>107</v>
      </c>
      <c r="D225" s="8">
        <v>517</v>
      </c>
      <c r="E225" s="8">
        <v>1370</v>
      </c>
      <c r="F225" s="8">
        <v>731</v>
      </c>
      <c r="G225" s="8">
        <v>1244</v>
      </c>
      <c r="H225" s="8">
        <v>1354</v>
      </c>
      <c r="I225" s="8">
        <v>1605</v>
      </c>
      <c r="J225" s="8">
        <v>1543</v>
      </c>
      <c r="K225" s="8">
        <v>641</v>
      </c>
      <c r="L225" s="8">
        <v>0</v>
      </c>
      <c r="M225" s="8">
        <v>1275</v>
      </c>
    </row>
    <row r="226" spans="1:13" s="10" customFormat="1" x14ac:dyDescent="0.45">
      <c r="A226" s="7" t="s">
        <v>17</v>
      </c>
      <c r="B226" s="8">
        <v>1672</v>
      </c>
      <c r="C226" s="8">
        <v>1197</v>
      </c>
      <c r="D226" s="8">
        <v>2271</v>
      </c>
      <c r="E226" s="8">
        <v>2729</v>
      </c>
      <c r="F226" s="8">
        <v>1497</v>
      </c>
      <c r="G226" s="8">
        <v>4294</v>
      </c>
      <c r="H226" s="8">
        <v>3714</v>
      </c>
      <c r="I226" s="8">
        <v>1081</v>
      </c>
      <c r="J226" s="8">
        <v>2761</v>
      </c>
      <c r="K226" s="8">
        <v>5120</v>
      </c>
      <c r="L226" s="8">
        <v>6185</v>
      </c>
      <c r="M226" s="8">
        <v>8592</v>
      </c>
    </row>
    <row r="227" spans="1:13" s="10" customFormat="1" x14ac:dyDescent="0.45">
      <c r="A227" s="7" t="s">
        <v>18</v>
      </c>
      <c r="B227" s="8">
        <v>151</v>
      </c>
      <c r="C227" s="8">
        <v>536</v>
      </c>
      <c r="D227" s="8">
        <v>353</v>
      </c>
      <c r="E227" s="8">
        <v>756</v>
      </c>
      <c r="F227" s="8">
        <v>679</v>
      </c>
      <c r="G227" s="8">
        <v>727</v>
      </c>
      <c r="H227" s="8">
        <v>720</v>
      </c>
      <c r="I227" s="8">
        <v>466</v>
      </c>
      <c r="J227" s="8">
        <v>409</v>
      </c>
      <c r="K227" s="8">
        <v>608</v>
      </c>
      <c r="L227" s="8">
        <v>980</v>
      </c>
      <c r="M227" s="8">
        <v>433</v>
      </c>
    </row>
    <row r="228" spans="1:13" s="10" customFormat="1" x14ac:dyDescent="0.45">
      <c r="A228" s="7" t="s">
        <v>19</v>
      </c>
      <c r="B228" s="8">
        <v>632</v>
      </c>
      <c r="C228" s="8">
        <v>330</v>
      </c>
      <c r="D228" s="8">
        <v>626</v>
      </c>
      <c r="E228" s="8">
        <v>1146</v>
      </c>
      <c r="F228" s="8">
        <v>590</v>
      </c>
      <c r="G228" s="8">
        <v>140</v>
      </c>
      <c r="H228" s="8">
        <v>734</v>
      </c>
      <c r="I228" s="8">
        <v>395</v>
      </c>
      <c r="J228" s="8">
        <v>364</v>
      </c>
      <c r="K228" s="8">
        <v>915</v>
      </c>
      <c r="L228" s="8">
        <v>806</v>
      </c>
      <c r="M228" s="8">
        <v>1480</v>
      </c>
    </row>
    <row r="229" spans="1:13" s="10" customFormat="1" x14ac:dyDescent="0.45">
      <c r="A229" s="1">
        <v>2022</v>
      </c>
      <c r="B229" s="1" t="s">
        <v>3</v>
      </c>
      <c r="C229" s="1" t="s">
        <v>4</v>
      </c>
      <c r="D229" s="1" t="s">
        <v>5</v>
      </c>
      <c r="E229" s="1" t="s">
        <v>6</v>
      </c>
      <c r="F229" s="1" t="s">
        <v>1</v>
      </c>
      <c r="G229" s="1" t="s">
        <v>7</v>
      </c>
      <c r="H229" s="1" t="s">
        <v>8</v>
      </c>
      <c r="I229" s="1" t="s">
        <v>9</v>
      </c>
      <c r="J229" s="1" t="s">
        <v>10</v>
      </c>
      <c r="K229" s="1" t="s">
        <v>11</v>
      </c>
      <c r="L229" s="1" t="s">
        <v>12</v>
      </c>
      <c r="M229" s="1" t="s">
        <v>13</v>
      </c>
    </row>
    <row r="230" spans="1:13" s="10" customFormat="1" ht="14.4" thickBot="1" x14ac:dyDescent="0.5">
      <c r="A230" s="2" t="s">
        <v>14</v>
      </c>
      <c r="B230" s="3">
        <v>7973</v>
      </c>
      <c r="C230" s="3">
        <v>4904</v>
      </c>
      <c r="D230" s="3">
        <v>7485</v>
      </c>
      <c r="E230" s="3">
        <v>3574</v>
      </c>
      <c r="F230" s="3">
        <v>3802</v>
      </c>
      <c r="G230" s="3">
        <v>8404</v>
      </c>
      <c r="H230" s="3">
        <v>9583</v>
      </c>
      <c r="I230" s="3">
        <v>5637</v>
      </c>
      <c r="J230" s="3">
        <v>7624</v>
      </c>
      <c r="K230" s="3">
        <v>5042</v>
      </c>
      <c r="L230" s="3">
        <v>5745</v>
      </c>
      <c r="M230" s="3">
        <v>6931</v>
      </c>
    </row>
    <row r="231" spans="1:13" s="10" customFormat="1" x14ac:dyDescent="0.45">
      <c r="A231" s="4" t="s">
        <v>15</v>
      </c>
      <c r="B231" s="5">
        <v>595</v>
      </c>
      <c r="C231" s="5">
        <v>1</v>
      </c>
      <c r="D231" s="5">
        <v>1</v>
      </c>
      <c r="E231" s="5">
        <v>0</v>
      </c>
      <c r="F231" s="5">
        <v>0</v>
      </c>
      <c r="G231" s="5">
        <v>3</v>
      </c>
      <c r="H231" s="5">
        <v>1</v>
      </c>
      <c r="I231" s="5">
        <v>1</v>
      </c>
      <c r="J231" s="5">
        <v>627</v>
      </c>
      <c r="K231" s="5">
        <v>23</v>
      </c>
      <c r="L231" s="6">
        <v>158</v>
      </c>
      <c r="M231" s="6">
        <v>221</v>
      </c>
    </row>
    <row r="232" spans="1:13" s="10" customFormat="1" x14ac:dyDescent="0.45">
      <c r="A232" s="7" t="s">
        <v>16</v>
      </c>
      <c r="B232" s="8">
        <v>595</v>
      </c>
      <c r="C232" s="8">
        <v>1</v>
      </c>
      <c r="D232" s="8">
        <v>1</v>
      </c>
      <c r="E232" s="8">
        <v>0</v>
      </c>
      <c r="F232" s="8">
        <v>0</v>
      </c>
      <c r="G232" s="8">
        <v>3</v>
      </c>
      <c r="H232" s="8">
        <v>1</v>
      </c>
      <c r="I232" s="8">
        <v>1</v>
      </c>
      <c r="J232" s="8">
        <v>560</v>
      </c>
      <c r="K232" s="8">
        <v>23</v>
      </c>
      <c r="L232" s="8">
        <v>126</v>
      </c>
      <c r="M232" s="8">
        <v>221</v>
      </c>
    </row>
    <row r="233" spans="1:13" s="10" customFormat="1" x14ac:dyDescent="0.45">
      <c r="A233" s="7" t="s">
        <v>17</v>
      </c>
      <c r="B233" s="8">
        <v>5929</v>
      </c>
      <c r="C233" s="8">
        <v>3810</v>
      </c>
      <c r="D233" s="8">
        <v>5997</v>
      </c>
      <c r="E233" s="8">
        <v>2421</v>
      </c>
      <c r="F233" s="8">
        <v>3429</v>
      </c>
      <c r="G233" s="8">
        <v>7016</v>
      </c>
      <c r="H233" s="8">
        <v>7479</v>
      </c>
      <c r="I233" s="8">
        <v>4796</v>
      </c>
      <c r="J233" s="8">
        <v>5551</v>
      </c>
      <c r="K233" s="8">
        <v>3806</v>
      </c>
      <c r="L233" s="8">
        <v>4503</v>
      </c>
      <c r="M233" s="8">
        <v>5662</v>
      </c>
    </row>
    <row r="234" spans="1:13" s="10" customFormat="1" x14ac:dyDescent="0.45">
      <c r="A234" s="7" t="s">
        <v>18</v>
      </c>
      <c r="B234" s="8">
        <v>563</v>
      </c>
      <c r="C234" s="8">
        <v>217</v>
      </c>
      <c r="D234" s="8">
        <v>263</v>
      </c>
      <c r="E234" s="8">
        <v>121</v>
      </c>
      <c r="F234" s="8">
        <v>97</v>
      </c>
      <c r="G234" s="8">
        <v>41</v>
      </c>
      <c r="H234" s="8">
        <v>84</v>
      </c>
      <c r="I234" s="8">
        <v>71</v>
      </c>
      <c r="J234" s="8">
        <v>244</v>
      </c>
      <c r="K234" s="8">
        <v>260</v>
      </c>
      <c r="L234" s="8">
        <v>220</v>
      </c>
      <c r="M234" s="8">
        <v>265</v>
      </c>
    </row>
    <row r="235" spans="1:13" s="10" customFormat="1" x14ac:dyDescent="0.45">
      <c r="A235" s="7" t="s">
        <v>19</v>
      </c>
      <c r="B235" s="8">
        <v>886</v>
      </c>
      <c r="C235" s="8">
        <v>876</v>
      </c>
      <c r="D235" s="8">
        <v>1224</v>
      </c>
      <c r="E235" s="8">
        <v>1032</v>
      </c>
      <c r="F235" s="8">
        <v>276</v>
      </c>
      <c r="G235" s="8">
        <v>1344</v>
      </c>
      <c r="H235" s="8">
        <v>2019</v>
      </c>
      <c r="I235" s="8">
        <v>769</v>
      </c>
      <c r="J235" s="8">
        <v>1202</v>
      </c>
      <c r="K235" s="8">
        <v>953</v>
      </c>
      <c r="L235" s="8">
        <v>864</v>
      </c>
      <c r="M235" s="8">
        <v>783</v>
      </c>
    </row>
    <row r="236" spans="1:13" s="10" customFormat="1" x14ac:dyDescent="0.45">
      <c r="A236" s="576">
        <v>2023</v>
      </c>
      <c r="B236" s="1" t="s">
        <v>3</v>
      </c>
      <c r="C236" s="1" t="s">
        <v>4</v>
      </c>
      <c r="D236" s="1" t="s">
        <v>5</v>
      </c>
      <c r="E236" s="1" t="s">
        <v>6</v>
      </c>
      <c r="F236" s="1" t="s">
        <v>1</v>
      </c>
      <c r="G236" s="1" t="s">
        <v>7</v>
      </c>
      <c r="H236" s="1" t="s">
        <v>8</v>
      </c>
      <c r="I236" s="1" t="s">
        <v>9</v>
      </c>
      <c r="J236" s="1" t="s">
        <v>10</v>
      </c>
      <c r="K236" s="1" t="s">
        <v>11</v>
      </c>
      <c r="L236" s="1" t="s">
        <v>12</v>
      </c>
      <c r="M236" s="1" t="s">
        <v>13</v>
      </c>
    </row>
    <row r="237" spans="1:13" s="10" customFormat="1" ht="14.4" thickBot="1" x14ac:dyDescent="0.5">
      <c r="A237" s="2" t="s">
        <v>14</v>
      </c>
      <c r="B237" s="3">
        <v>4979</v>
      </c>
      <c r="C237" s="3">
        <v>4526</v>
      </c>
      <c r="D237" s="3">
        <v>7073</v>
      </c>
      <c r="E237" s="3">
        <v>6553</v>
      </c>
      <c r="F237" s="3">
        <v>6837</v>
      </c>
      <c r="G237" s="3">
        <v>7571</v>
      </c>
      <c r="H237" s="3">
        <v>5927</v>
      </c>
      <c r="I237" s="3">
        <v>5644</v>
      </c>
      <c r="J237" s="3">
        <v>7478</v>
      </c>
      <c r="K237" s="3">
        <v>10181</v>
      </c>
      <c r="L237" s="3">
        <v>6931</v>
      </c>
      <c r="M237" s="3">
        <v>11599</v>
      </c>
    </row>
    <row r="238" spans="1:13" s="10" customFormat="1" x14ac:dyDescent="0.45">
      <c r="A238" s="4" t="s">
        <v>15</v>
      </c>
      <c r="B238" s="5">
        <v>223</v>
      </c>
      <c r="C238" s="5">
        <v>258</v>
      </c>
      <c r="D238" s="5">
        <v>453</v>
      </c>
      <c r="E238" s="5">
        <v>367</v>
      </c>
      <c r="F238" s="5">
        <v>213</v>
      </c>
      <c r="G238" s="5">
        <v>334</v>
      </c>
      <c r="H238" s="5">
        <v>320</v>
      </c>
      <c r="I238" s="5">
        <v>328</v>
      </c>
      <c r="J238" s="5">
        <v>237</v>
      </c>
      <c r="K238" s="5">
        <v>683</v>
      </c>
      <c r="L238" s="6">
        <v>221</v>
      </c>
      <c r="M238" s="6">
        <v>1324</v>
      </c>
    </row>
    <row r="239" spans="1:13" s="10" customFormat="1" x14ac:dyDescent="0.45">
      <c r="A239" s="7" t="s">
        <v>16</v>
      </c>
      <c r="B239" s="8">
        <v>223</v>
      </c>
      <c r="C239" s="8">
        <v>242</v>
      </c>
      <c r="D239" s="8">
        <v>453</v>
      </c>
      <c r="E239" s="8">
        <v>316</v>
      </c>
      <c r="F239" s="8">
        <v>193</v>
      </c>
      <c r="G239" s="8">
        <v>334</v>
      </c>
      <c r="H239" s="8">
        <v>320</v>
      </c>
      <c r="I239" s="8">
        <v>328</v>
      </c>
      <c r="J239" s="8">
        <v>237</v>
      </c>
      <c r="K239" s="8">
        <v>602</v>
      </c>
      <c r="L239" s="8">
        <v>221</v>
      </c>
      <c r="M239" s="8">
        <v>1288</v>
      </c>
    </row>
    <row r="240" spans="1:13" s="10" customFormat="1" x14ac:dyDescent="0.45">
      <c r="A240" s="7" t="s">
        <v>17</v>
      </c>
      <c r="B240" s="8">
        <v>3936</v>
      </c>
      <c r="C240" s="8">
        <v>3051</v>
      </c>
      <c r="D240" s="8">
        <v>5066</v>
      </c>
      <c r="E240" s="8">
        <v>4565</v>
      </c>
      <c r="F240" s="8">
        <v>4309</v>
      </c>
      <c r="G240" s="8">
        <v>4037</v>
      </c>
      <c r="H240" s="8">
        <v>3526</v>
      </c>
      <c r="I240" s="8">
        <v>3152</v>
      </c>
      <c r="J240" s="8">
        <v>4578</v>
      </c>
      <c r="K240" s="8">
        <v>6378</v>
      </c>
      <c r="L240" s="8">
        <v>5662</v>
      </c>
      <c r="M240" s="8">
        <v>6371</v>
      </c>
    </row>
    <row r="241" spans="1:13" s="10" customFormat="1" x14ac:dyDescent="0.45">
      <c r="A241" s="7" t="s">
        <v>18</v>
      </c>
      <c r="B241" s="8">
        <v>167</v>
      </c>
      <c r="C241" s="8">
        <v>341</v>
      </c>
      <c r="D241" s="8">
        <v>547</v>
      </c>
      <c r="E241" s="8">
        <v>426</v>
      </c>
      <c r="F241" s="8">
        <v>656</v>
      </c>
      <c r="G241" s="8">
        <v>847</v>
      </c>
      <c r="H241" s="8">
        <v>630</v>
      </c>
      <c r="I241" s="8">
        <v>817</v>
      </c>
      <c r="J241" s="8">
        <v>869</v>
      </c>
      <c r="K241" s="8">
        <v>633</v>
      </c>
      <c r="L241" s="8">
        <v>265</v>
      </c>
      <c r="M241" s="8">
        <v>212</v>
      </c>
    </row>
    <row r="242" spans="1:13" s="10" customFormat="1" x14ac:dyDescent="0.45">
      <c r="A242" s="7" t="s">
        <v>19</v>
      </c>
      <c r="B242" s="8">
        <v>653</v>
      </c>
      <c r="C242" s="8">
        <v>876</v>
      </c>
      <c r="D242" s="8">
        <v>1006.9999999999999</v>
      </c>
      <c r="E242" s="8">
        <v>1195</v>
      </c>
      <c r="F242" s="8">
        <v>1659</v>
      </c>
      <c r="G242" s="8">
        <v>2353</v>
      </c>
      <c r="H242" s="8">
        <v>1451</v>
      </c>
      <c r="I242" s="8">
        <v>1347</v>
      </c>
      <c r="J242" s="8">
        <v>1794</v>
      </c>
      <c r="K242" s="8">
        <v>2487</v>
      </c>
      <c r="L242" s="8">
        <v>783</v>
      </c>
      <c r="M242" s="8">
        <v>3692</v>
      </c>
    </row>
    <row r="243" spans="1:13" ht="13.8" customHeight="1" x14ac:dyDescent="0.45">
      <c r="A243" s="46" t="s">
        <v>20</v>
      </c>
    </row>
  </sheetData>
  <phoneticPr fontId="2"/>
  <pageMargins left="0.7" right="0.7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生産_Production</vt:lpstr>
      <vt:lpstr>販売_Sales</vt:lpstr>
      <vt:lpstr>販売（電動車）_Sales (Electrification)</vt:lpstr>
      <vt:lpstr>輸出_Exports</vt:lpstr>
      <vt:lpstr>CY2019-2023➢</vt:lpstr>
      <vt:lpstr>annual production</vt:lpstr>
      <vt:lpstr>annual sales</vt:lpstr>
      <vt:lpstr>annual export</vt:lpstr>
      <vt:lpstr>CY2013-2023</vt:lpstr>
      <vt:lpstr>'CY2013-2023'!Honda_Brand_Total</vt:lpstr>
      <vt:lpstr>'CY2013-2023'!Print_Area</vt:lpstr>
      <vt:lpstr>販売_Sales!Print_Area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Wada (和田 茉里奈 GE)</dc:creator>
  <cp:keywords>SecrecyB; A.01.0010; HM</cp:keywords>
  <cp:lastModifiedBy>Sayo Nakatani (仲谷 早代 GE)</cp:lastModifiedBy>
  <dcterms:created xsi:type="dcterms:W3CDTF">2024-02-27T23:30:34Z</dcterms:created>
  <dcterms:modified xsi:type="dcterms:W3CDTF">2025-11-27T01:30:41Z</dcterms:modified>
  <cp:category/>
</cp:coreProperties>
</file>